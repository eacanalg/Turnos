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ronograma" sheetId="1" r:id="rId1"/>
    <sheet name="Ana" sheetId="2" r:id="rId2"/>
    <sheet name="Juan" sheetId="3" r:id="rId3"/>
    <sheet name="Jose" sheetId="4" r:id="rId4"/>
    <sheet name="Pepe" sheetId="5" r:id="rId5"/>
    <sheet name="Maria" sheetId="6" r:id="rId6"/>
    <sheet name="Camilo" sheetId="7" r:id="rId7"/>
    <sheet name="Edwin" sheetId="8" r:id="rId8"/>
    <sheet name="Karol" sheetId="9" r:id="rId9"/>
    <sheet name="Sara" sheetId="10" r:id="rId10"/>
    <sheet name="Sofia" sheetId="11" r:id="rId11"/>
    <sheet name="Sergio" sheetId="12" r:id="rId12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<sst xmlns="http://schemas.openxmlformats.org/spreadsheetml/2006/main" count="190" uniqueCount="21">
  <si>
    <t>Puestos</t>
  </si>
  <si>
    <t>Nocturno</t>
  </si>
  <si>
    <t>Puesto 1</t>
  </si>
  <si>
    <t>Puesto 2</t>
  </si>
  <si>
    <t>Puesto 3</t>
  </si>
  <si>
    <t>Puesto 4</t>
  </si>
  <si>
    <t>Puesto 4 noche</t>
  </si>
  <si>
    <t>Juan</t>
  </si>
  <si>
    <t>Jose</t>
  </si>
  <si>
    <t>Pepe</t>
  </si>
  <si>
    <t>Maria</t>
  </si>
  <si>
    <t>Camilo</t>
  </si>
  <si>
    <t>Ana</t>
  </si>
  <si>
    <t>Edwin</t>
  </si>
  <si>
    <t>Karol</t>
  </si>
  <si>
    <t>Sara</t>
  </si>
  <si>
    <t>Sofia</t>
  </si>
  <si>
    <t>Sergio</t>
  </si>
  <si>
    <t>Día</t>
  </si>
  <si>
    <t>Noche</t>
  </si>
  <si>
    <t>Descanso</t>
  </si>
</sst>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F6"/>
  <sheetViews>
    <sheetView tabSelected="1" workbookViewId="0"/>
  </sheetViews>
  <sheetFormatPr defaultRowHeight="15"/>
  <sheetData>
    <row r="1" spans="1:32">
      <c r="A1" s="1" t="s">
        <v>0</v>
      </c>
      <c r="B1" s="1" t="s">
        <v>1</v>
      </c>
      <c r="C1" s="2">
        <v>45658</v>
      </c>
      <c r="D1" s="2">
        <v>45659</v>
      </c>
      <c r="E1" s="2">
        <v>45660</v>
      </c>
      <c r="F1" s="2">
        <v>45661</v>
      </c>
      <c r="G1" s="2">
        <v>45662</v>
      </c>
      <c r="H1" s="2">
        <v>45663</v>
      </c>
      <c r="I1" s="2">
        <v>45664</v>
      </c>
      <c r="J1" s="2">
        <v>45665</v>
      </c>
      <c r="K1" s="2">
        <v>45666</v>
      </c>
      <c r="L1" s="2">
        <v>45667</v>
      </c>
      <c r="M1" s="2">
        <v>45668</v>
      </c>
      <c r="N1" s="2">
        <v>45669</v>
      </c>
      <c r="O1" s="2">
        <v>45670</v>
      </c>
      <c r="P1" s="2">
        <v>45671</v>
      </c>
      <c r="Q1" s="2">
        <v>45672</v>
      </c>
      <c r="R1" s="2">
        <v>45673</v>
      </c>
      <c r="S1" s="2">
        <v>45674</v>
      </c>
      <c r="T1" s="2">
        <v>45675</v>
      </c>
      <c r="U1" s="2">
        <v>45676</v>
      </c>
      <c r="V1" s="2">
        <v>45677</v>
      </c>
      <c r="W1" s="2">
        <v>45678</v>
      </c>
      <c r="X1" s="2">
        <v>45679</v>
      </c>
      <c r="Y1" s="2">
        <v>45680</v>
      </c>
      <c r="Z1" s="2">
        <v>45681</v>
      </c>
      <c r="AA1" s="2">
        <v>45682</v>
      </c>
      <c r="AB1" s="2">
        <v>45683</v>
      </c>
      <c r="AC1" s="2">
        <v>45684</v>
      </c>
      <c r="AD1" s="2">
        <v>45685</v>
      </c>
      <c r="AE1" s="2">
        <v>45686</v>
      </c>
      <c r="AF1" s="2">
        <v>45687</v>
      </c>
    </row>
    <row r="2" spans="1:32">
      <c r="A2" t="s">
        <v>2</v>
      </c>
      <c r="B2" t="b">
        <v>0</v>
      </c>
      <c r="C2" t="s">
        <v>7</v>
      </c>
      <c r="D2" t="s">
        <v>12</v>
      </c>
      <c r="E2" t="s">
        <v>11</v>
      </c>
      <c r="F2" t="s">
        <v>7</v>
      </c>
      <c r="G2" t="s">
        <v>8</v>
      </c>
      <c r="H2" t="s">
        <v>13</v>
      </c>
      <c r="I2" t="s">
        <v>8</v>
      </c>
      <c r="J2" t="s">
        <v>10</v>
      </c>
      <c r="K2" t="s">
        <v>14</v>
      </c>
      <c r="L2" t="s">
        <v>7</v>
      </c>
      <c r="M2" t="s">
        <v>14</v>
      </c>
      <c r="N2" t="s">
        <v>16</v>
      </c>
      <c r="O2" t="s">
        <v>8</v>
      </c>
      <c r="P2" t="s">
        <v>15</v>
      </c>
      <c r="Q2" t="s">
        <v>7</v>
      </c>
      <c r="R2" t="s">
        <v>10</v>
      </c>
      <c r="S2" t="s">
        <v>13</v>
      </c>
      <c r="T2" t="s">
        <v>8</v>
      </c>
      <c r="U2" t="s">
        <v>13</v>
      </c>
      <c r="V2" t="s">
        <v>15</v>
      </c>
      <c r="W2" t="s">
        <v>7</v>
      </c>
      <c r="X2" t="s">
        <v>14</v>
      </c>
      <c r="Y2" t="s">
        <v>17</v>
      </c>
      <c r="Z2" t="s">
        <v>8</v>
      </c>
      <c r="AA2" t="s">
        <v>11</v>
      </c>
      <c r="AB2" t="s">
        <v>7</v>
      </c>
      <c r="AC2" t="s">
        <v>10</v>
      </c>
      <c r="AD2" t="s">
        <v>13</v>
      </c>
      <c r="AE2" t="s">
        <v>17</v>
      </c>
      <c r="AF2" t="s">
        <v>13</v>
      </c>
    </row>
    <row r="3" spans="1:32">
      <c r="A3" t="s">
        <v>3</v>
      </c>
      <c r="B3" t="b">
        <v>0</v>
      </c>
      <c r="C3" t="s">
        <v>8</v>
      </c>
      <c r="D3" t="s">
        <v>13</v>
      </c>
      <c r="E3" t="s">
        <v>16</v>
      </c>
      <c r="F3" t="s">
        <v>9</v>
      </c>
      <c r="G3" t="s">
        <v>14</v>
      </c>
      <c r="H3" t="s">
        <v>17</v>
      </c>
      <c r="I3" t="s">
        <v>9</v>
      </c>
      <c r="J3" t="s">
        <v>15</v>
      </c>
      <c r="K3" t="s">
        <v>12</v>
      </c>
      <c r="L3" t="s">
        <v>10</v>
      </c>
      <c r="M3" t="s">
        <v>15</v>
      </c>
      <c r="N3" t="s">
        <v>7</v>
      </c>
      <c r="O3" t="s">
        <v>11</v>
      </c>
      <c r="P3" t="s">
        <v>16</v>
      </c>
      <c r="Q3" t="s">
        <v>8</v>
      </c>
      <c r="R3" t="s">
        <v>14</v>
      </c>
      <c r="S3" t="s">
        <v>17</v>
      </c>
      <c r="T3" t="s">
        <v>9</v>
      </c>
      <c r="U3" t="s">
        <v>14</v>
      </c>
      <c r="V3" t="s">
        <v>12</v>
      </c>
      <c r="W3" t="s">
        <v>10</v>
      </c>
      <c r="X3" t="s">
        <v>15</v>
      </c>
      <c r="Y3" t="s">
        <v>7</v>
      </c>
      <c r="Z3" t="s">
        <v>13</v>
      </c>
      <c r="AA3" t="s">
        <v>16</v>
      </c>
      <c r="AB3" t="s">
        <v>8</v>
      </c>
      <c r="AC3" t="s">
        <v>14</v>
      </c>
      <c r="AD3" t="s">
        <v>12</v>
      </c>
      <c r="AE3" t="s">
        <v>9</v>
      </c>
      <c r="AF3" t="s">
        <v>14</v>
      </c>
    </row>
    <row r="4" spans="1:32">
      <c r="A4" t="s">
        <v>4</v>
      </c>
      <c r="B4" t="b">
        <v>0</v>
      </c>
      <c r="C4" t="s">
        <v>9</v>
      </c>
      <c r="D4" t="s">
        <v>14</v>
      </c>
      <c r="E4" t="s">
        <v>17</v>
      </c>
      <c r="F4" t="s">
        <v>10</v>
      </c>
      <c r="G4" t="s">
        <v>15</v>
      </c>
      <c r="H4" t="s">
        <v>12</v>
      </c>
      <c r="I4" t="s">
        <v>11</v>
      </c>
      <c r="J4" t="s">
        <v>16</v>
      </c>
      <c r="K4" t="s">
        <v>8</v>
      </c>
      <c r="L4" t="s">
        <v>11</v>
      </c>
      <c r="M4" t="s">
        <v>17</v>
      </c>
      <c r="N4" t="s">
        <v>9</v>
      </c>
      <c r="O4" t="s">
        <v>13</v>
      </c>
      <c r="P4" t="s">
        <v>17</v>
      </c>
      <c r="Q4" t="s">
        <v>9</v>
      </c>
      <c r="R4" t="s">
        <v>15</v>
      </c>
      <c r="S4" t="s">
        <v>12</v>
      </c>
      <c r="T4" t="s">
        <v>10</v>
      </c>
      <c r="U4" t="s">
        <v>16</v>
      </c>
      <c r="V4" t="s">
        <v>8</v>
      </c>
      <c r="W4" t="s">
        <v>11</v>
      </c>
      <c r="X4" t="s">
        <v>16</v>
      </c>
      <c r="Y4" t="s">
        <v>9</v>
      </c>
      <c r="Z4" t="s">
        <v>14</v>
      </c>
      <c r="AA4" t="s">
        <v>17</v>
      </c>
      <c r="AB4" t="s">
        <v>9</v>
      </c>
      <c r="AC4" t="s">
        <v>15</v>
      </c>
      <c r="AD4" t="s">
        <v>7</v>
      </c>
      <c r="AE4" t="s">
        <v>10</v>
      </c>
      <c r="AF4" t="s">
        <v>16</v>
      </c>
    </row>
    <row r="5" spans="1:32">
      <c r="A5" t="s">
        <v>5</v>
      </c>
      <c r="B5" t="b">
        <v>0</v>
      </c>
      <c r="C5" t="s">
        <v>10</v>
      </c>
      <c r="D5" t="s">
        <v>15</v>
      </c>
      <c r="E5" t="s">
        <v>12</v>
      </c>
      <c r="F5" t="s">
        <v>11</v>
      </c>
      <c r="G5" t="s">
        <v>16</v>
      </c>
      <c r="H5" t="s">
        <v>7</v>
      </c>
      <c r="I5" t="s">
        <v>13</v>
      </c>
      <c r="J5" t="s">
        <v>17</v>
      </c>
      <c r="K5" t="s">
        <v>9</v>
      </c>
      <c r="L5" t="s">
        <v>13</v>
      </c>
      <c r="M5" t="s">
        <v>12</v>
      </c>
      <c r="N5" t="s">
        <v>10</v>
      </c>
      <c r="O5" t="s">
        <v>14</v>
      </c>
      <c r="P5" t="s">
        <v>12</v>
      </c>
      <c r="Q5" t="s">
        <v>11</v>
      </c>
      <c r="R5" t="s">
        <v>16</v>
      </c>
      <c r="S5" t="s">
        <v>7</v>
      </c>
      <c r="T5" t="s">
        <v>11</v>
      </c>
      <c r="U5" t="s">
        <v>17</v>
      </c>
      <c r="V5" t="s">
        <v>9</v>
      </c>
      <c r="W5" t="s">
        <v>13</v>
      </c>
      <c r="X5" t="s">
        <v>12</v>
      </c>
      <c r="Y5" t="s">
        <v>10</v>
      </c>
      <c r="Z5" t="s">
        <v>15</v>
      </c>
      <c r="AA5" t="s">
        <v>12</v>
      </c>
      <c r="AB5" t="s">
        <v>11</v>
      </c>
      <c r="AC5" t="s">
        <v>16</v>
      </c>
      <c r="AD5" t="s">
        <v>8</v>
      </c>
      <c r="AE5" t="s">
        <v>11</v>
      </c>
      <c r="AF5" t="s">
        <v>17</v>
      </c>
    </row>
    <row r="6" spans="1:32">
      <c r="A6" t="s">
        <v>6</v>
      </c>
      <c r="B6" t="b">
        <v>1</v>
      </c>
      <c r="C6" t="s">
        <v>11</v>
      </c>
      <c r="D6" t="s">
        <v>7</v>
      </c>
      <c r="E6" t="s">
        <v>8</v>
      </c>
      <c r="F6" t="s">
        <v>13</v>
      </c>
      <c r="G6" t="s">
        <v>9</v>
      </c>
      <c r="H6" t="s">
        <v>10</v>
      </c>
      <c r="I6" t="s">
        <v>14</v>
      </c>
      <c r="J6" t="s">
        <v>7</v>
      </c>
      <c r="K6" t="s">
        <v>15</v>
      </c>
      <c r="L6" t="s">
        <v>16</v>
      </c>
      <c r="M6" t="s">
        <v>8</v>
      </c>
      <c r="N6" t="s">
        <v>17</v>
      </c>
      <c r="O6" t="s">
        <v>9</v>
      </c>
      <c r="P6" t="s">
        <v>10</v>
      </c>
      <c r="Q6" t="s">
        <v>13</v>
      </c>
      <c r="R6" t="s">
        <v>11</v>
      </c>
      <c r="S6" t="s">
        <v>14</v>
      </c>
      <c r="T6" t="s">
        <v>15</v>
      </c>
      <c r="U6" t="s">
        <v>7</v>
      </c>
      <c r="V6" t="s">
        <v>16</v>
      </c>
      <c r="W6" t="s">
        <v>17</v>
      </c>
      <c r="X6" t="s">
        <v>8</v>
      </c>
      <c r="Y6" t="s">
        <v>11</v>
      </c>
      <c r="Z6" t="s">
        <v>9</v>
      </c>
      <c r="AA6" t="s">
        <v>10</v>
      </c>
      <c r="AB6" t="s">
        <v>13</v>
      </c>
      <c r="AC6" t="s">
        <v>17</v>
      </c>
      <c r="AD6" t="s">
        <v>14</v>
      </c>
      <c r="AE6" t="s">
        <v>15</v>
      </c>
      <c r="AF6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G2"/>
  <sheetViews>
    <sheetView workbookViewId="0"/>
  </sheetViews>
  <sheetFormatPr defaultRowHeight="15"/>
  <sheetData>
    <row r="1" spans="1:33">
      <c r="A1" s="1" t="s">
        <v>18</v>
      </c>
      <c r="B1" s="1" t="s">
        <v>19</v>
      </c>
      <c r="C1" s="1" t="s">
        <v>20</v>
      </c>
      <c r="D1" s="2">
        <v>45658</v>
      </c>
      <c r="E1" s="2">
        <v>45659</v>
      </c>
      <c r="F1" s="2">
        <v>45660</v>
      </c>
      <c r="G1" s="2">
        <v>45661</v>
      </c>
      <c r="H1" s="2">
        <v>45662</v>
      </c>
      <c r="I1" s="2">
        <v>45663</v>
      </c>
      <c r="J1" s="2">
        <v>45664</v>
      </c>
      <c r="K1" s="2">
        <v>45665</v>
      </c>
      <c r="L1" s="2">
        <v>45666</v>
      </c>
      <c r="M1" s="2">
        <v>45667</v>
      </c>
      <c r="N1" s="2">
        <v>45668</v>
      </c>
      <c r="O1" s="2">
        <v>45669</v>
      </c>
      <c r="P1" s="2">
        <v>45670</v>
      </c>
      <c r="Q1" s="2">
        <v>45671</v>
      </c>
      <c r="R1" s="2">
        <v>45672</v>
      </c>
      <c r="S1" s="2">
        <v>45673</v>
      </c>
      <c r="T1" s="2">
        <v>45674</v>
      </c>
      <c r="U1" s="2">
        <v>45675</v>
      </c>
      <c r="V1" s="2">
        <v>45676</v>
      </c>
      <c r="W1" s="2">
        <v>45677</v>
      </c>
      <c r="X1" s="2">
        <v>45678</v>
      </c>
      <c r="Y1" s="2">
        <v>45679</v>
      </c>
      <c r="Z1" s="2">
        <v>45680</v>
      </c>
      <c r="AA1" s="2">
        <v>45681</v>
      </c>
      <c r="AB1" s="2">
        <v>45682</v>
      </c>
      <c r="AC1" s="2">
        <v>45683</v>
      </c>
      <c r="AD1" s="2">
        <v>45684</v>
      </c>
      <c r="AE1" s="2">
        <v>45685</v>
      </c>
      <c r="AF1" s="2">
        <v>45686</v>
      </c>
      <c r="AG1" s="2">
        <v>45687</v>
      </c>
    </row>
    <row r="2" spans="1:33">
      <c r="A2">
        <f>SUMPRODUCT((Cronograma!B2:B6=FALSE) * (COUNTIF(D2:AG2, Cronograma!A2:A6)))</f>
        <v>0</v>
      </c>
      <c r="B2">
        <f>SUMPRODUCT((Cronograma!B2:B6=TRUE) * (COUNTIF(D2:AG2, Cronograma!A2:A6)))</f>
        <v>0</v>
      </c>
      <c r="C2">
        <f>SUMPRODUCT((E2:AG2="") * NOT(IFERROR(VLOOKUP(N(D2:AF2),Cronograma!A2:B6,2,FALSE), FALSE)))</f>
        <v>0</v>
      </c>
      <c r="D2" cm="1">
        <f t="array" ref="D2">_xlfn.XLOOKUP("Ana",Cronograma!C2:C6,Cronograma!A2:A6,"")</f>
        <v>0</v>
      </c>
      <c r="E2" cm="1">
        <f t="array" ref="E2">_xlfn.XLOOKUP("Ana",Cronograma!D2:D6,Cronograma!A2:A6,"")</f>
        <v>0</v>
      </c>
      <c r="F2" cm="1">
        <f t="array" ref="F2">_xlfn.XLOOKUP("Ana",Cronograma!E2:E6,Cronograma!A2:A6,"")</f>
        <v>0</v>
      </c>
      <c r="G2" cm="1">
        <f t="array" ref="G2">_xlfn.XLOOKUP("Ana",Cronograma!F2:F6,Cronograma!A2:A6,"")</f>
        <v>0</v>
      </c>
      <c r="H2" cm="1">
        <f t="array" ref="H2">_xlfn.XLOOKUP("Ana",Cronograma!G2:G6,Cronograma!A2:A6,"")</f>
        <v>0</v>
      </c>
      <c r="I2" cm="1">
        <f t="array" ref="I2">_xlfn.XLOOKUP("Ana",Cronograma!H2:H6,Cronograma!A2:A6,"")</f>
        <v>0</v>
      </c>
      <c r="J2" cm="1">
        <f t="array" ref="J2">_xlfn.XLOOKUP("Ana",Cronograma!I2:I6,Cronograma!A2:A6,"")</f>
        <v>0</v>
      </c>
      <c r="K2" cm="1">
        <f t="array" ref="K2">_xlfn.XLOOKUP("Ana",Cronograma!J2:J6,Cronograma!A2:A6,"")</f>
        <v>0</v>
      </c>
      <c r="L2" cm="1">
        <f t="array" ref="L2">_xlfn.XLOOKUP("Ana",Cronograma!K2:K6,Cronograma!A2:A6,"")</f>
        <v>0</v>
      </c>
      <c r="M2" cm="1">
        <f t="array" ref="M2">_xlfn.XLOOKUP("Ana",Cronograma!L2:L6,Cronograma!A2:A6,"")</f>
        <v>0</v>
      </c>
      <c r="N2" cm="1">
        <f t="array" ref="N2">_xlfn.XLOOKUP("Ana",Cronograma!M2:M6,Cronograma!A2:A6,"")</f>
        <v>0</v>
      </c>
      <c r="O2" cm="1">
        <f t="array" ref="O2">_xlfn.XLOOKUP("Ana",Cronograma!N2:N6,Cronograma!A2:A6,"")</f>
        <v>0</v>
      </c>
      <c r="P2" cm="1">
        <f t="array" ref="P2">_xlfn.XLOOKUP("Ana",Cronograma!O2:O6,Cronograma!A2:A6,"")</f>
        <v>0</v>
      </c>
      <c r="Q2" cm="1">
        <f t="array" ref="Q2">_xlfn.XLOOKUP("Ana",Cronograma!P2:P6,Cronograma!A2:A6,"")</f>
        <v>0</v>
      </c>
      <c r="R2" cm="1">
        <f t="array" ref="R2">_xlfn.XLOOKUP("Ana",Cronograma!Q2:Q6,Cronograma!A2:A6,"")</f>
        <v>0</v>
      </c>
      <c r="S2" cm="1">
        <f t="array" ref="S2">_xlfn.XLOOKUP("Ana",Cronograma!R2:R6,Cronograma!A2:A6,"")</f>
        <v>0</v>
      </c>
      <c r="T2" cm="1">
        <f t="array" ref="T2">_xlfn.XLOOKUP("Ana",Cronograma!S2:S6,Cronograma!A2:A6,"")</f>
        <v>0</v>
      </c>
      <c r="U2" cm="1">
        <f t="array" ref="U2">_xlfn.XLOOKUP("Ana",Cronograma!T2:T6,Cronograma!A2:A6,"")</f>
        <v>0</v>
      </c>
      <c r="V2" cm="1">
        <f t="array" ref="V2">_xlfn.XLOOKUP("Ana",Cronograma!U2:U6,Cronograma!A2:A6,"")</f>
        <v>0</v>
      </c>
      <c r="W2" cm="1">
        <f t="array" ref="W2">_xlfn.XLOOKUP("Ana",Cronograma!V2:V6,Cronograma!A2:A6,"")</f>
        <v>0</v>
      </c>
      <c r="X2" cm="1">
        <f t="array" ref="X2">_xlfn.XLOOKUP("Ana",Cronograma!W2:W6,Cronograma!A2:A6,"")</f>
        <v>0</v>
      </c>
      <c r="Y2" cm="1">
        <f t="array" ref="Y2">_xlfn.XLOOKUP("Ana",Cronograma!X2:X6,Cronograma!A2:A6,"")</f>
        <v>0</v>
      </c>
      <c r="Z2" cm="1">
        <f t="array" ref="Z2">_xlfn.XLOOKUP("Ana",Cronograma!Y2:Y6,Cronograma!A2:A6,"")</f>
        <v>0</v>
      </c>
      <c r="AA2" cm="1">
        <f t="array" ref="AA2">_xlfn.XLOOKUP("Ana",Cronograma!Z2:Z6,Cronograma!A2:A6,"")</f>
        <v>0</v>
      </c>
      <c r="AB2" cm="1">
        <f t="array" ref="AB2">_xlfn.XLOOKUP("Ana",Cronograma!AA2:AA6,Cronograma!A2:A6,"")</f>
        <v>0</v>
      </c>
      <c r="AC2" cm="1">
        <f t="array" ref="AC2">_xlfn.XLOOKUP("Ana",Cronograma!AB2:AB6,Cronograma!A2:A6,"")</f>
        <v>0</v>
      </c>
      <c r="AD2" cm="1">
        <f t="array" ref="AD2">_xlfn.XLOOKUP("Ana",Cronograma!AC2:AC6,Cronograma!A2:A6,"")</f>
        <v>0</v>
      </c>
      <c r="AE2" cm="1">
        <f t="array" ref="AE2">_xlfn.XLOOKUP("Ana",Cronograma!AD2:AD6,Cronograma!A2:A6,"")</f>
        <v>0</v>
      </c>
      <c r="AF2" cm="1">
        <f t="array" ref="AF2">_xlfn.XLOOKUP("Ana",Cronograma!AE2:AE6,Cronograma!A2:A6,"")</f>
        <v>0</v>
      </c>
      <c r="AG2" cm="1">
        <f t="array" ref="AG2">_xlfn.XLOOKUP("Ana",Cronograma!AF2:AF6,Cronograma!A2:A6,"")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G2"/>
  <sheetViews>
    <sheetView workbookViewId="0"/>
  </sheetViews>
  <sheetFormatPr defaultRowHeight="15"/>
  <sheetData>
    <row r="1" spans="1:33">
      <c r="A1" s="1" t="s">
        <v>18</v>
      </c>
      <c r="B1" s="1" t="s">
        <v>19</v>
      </c>
      <c r="C1" s="1" t="s">
        <v>20</v>
      </c>
      <c r="D1" s="2">
        <v>45658</v>
      </c>
      <c r="E1" s="2">
        <v>45659</v>
      </c>
      <c r="F1" s="2">
        <v>45660</v>
      </c>
      <c r="G1" s="2">
        <v>45661</v>
      </c>
      <c r="H1" s="2">
        <v>45662</v>
      </c>
      <c r="I1" s="2">
        <v>45663</v>
      </c>
      <c r="J1" s="2">
        <v>45664</v>
      </c>
      <c r="K1" s="2">
        <v>45665</v>
      </c>
      <c r="L1" s="2">
        <v>45666</v>
      </c>
      <c r="M1" s="2">
        <v>45667</v>
      </c>
      <c r="N1" s="2">
        <v>45668</v>
      </c>
      <c r="O1" s="2">
        <v>45669</v>
      </c>
      <c r="P1" s="2">
        <v>45670</v>
      </c>
      <c r="Q1" s="2">
        <v>45671</v>
      </c>
      <c r="R1" s="2">
        <v>45672</v>
      </c>
      <c r="S1" s="2">
        <v>45673</v>
      </c>
      <c r="T1" s="2">
        <v>45674</v>
      </c>
      <c r="U1" s="2">
        <v>45675</v>
      </c>
      <c r="V1" s="2">
        <v>45676</v>
      </c>
      <c r="W1" s="2">
        <v>45677</v>
      </c>
      <c r="X1" s="2">
        <v>45678</v>
      </c>
      <c r="Y1" s="2">
        <v>45679</v>
      </c>
      <c r="Z1" s="2">
        <v>45680</v>
      </c>
      <c r="AA1" s="2">
        <v>45681</v>
      </c>
      <c r="AB1" s="2">
        <v>45682</v>
      </c>
      <c r="AC1" s="2">
        <v>45683</v>
      </c>
      <c r="AD1" s="2">
        <v>45684</v>
      </c>
      <c r="AE1" s="2">
        <v>45685</v>
      </c>
      <c r="AF1" s="2">
        <v>45686</v>
      </c>
      <c r="AG1" s="2">
        <v>45687</v>
      </c>
    </row>
    <row r="2" spans="1:33">
      <c r="A2">
        <f>SUMPRODUCT((Cronograma!B2:B6=FALSE) * (COUNTIF(D2:AG2, Cronograma!A2:A6)))</f>
        <v>0</v>
      </c>
      <c r="B2">
        <f>SUMPRODUCT((Cronograma!B2:B6=TRUE) * (COUNTIF(D2:AG2, Cronograma!A2:A6)))</f>
        <v>0</v>
      </c>
      <c r="C2">
        <f>SUMPRODUCT((E2:AG2="") * NOT(IFERROR(VLOOKUP(N(D2:AF2),Cronograma!A2:B6,2,FALSE), FALSE)))</f>
        <v>0</v>
      </c>
      <c r="D2" cm="1">
        <f t="array" ref="D2">_xlfn.XLOOKUP("Juan",Cronograma!C2:C6,Cronograma!A2:A6,"")</f>
        <v>0</v>
      </c>
      <c r="E2" cm="1">
        <f t="array" ref="E2">_xlfn.XLOOKUP("Juan",Cronograma!D2:D6,Cronograma!A2:A6,"")</f>
        <v>0</v>
      </c>
      <c r="F2" cm="1">
        <f t="array" ref="F2">_xlfn.XLOOKUP("Juan",Cronograma!E2:E6,Cronograma!A2:A6,"")</f>
        <v>0</v>
      </c>
      <c r="G2" cm="1">
        <f t="array" ref="G2">_xlfn.XLOOKUP("Juan",Cronograma!F2:F6,Cronograma!A2:A6,"")</f>
        <v>0</v>
      </c>
      <c r="H2" cm="1">
        <f t="array" ref="H2">_xlfn.XLOOKUP("Juan",Cronograma!G2:G6,Cronograma!A2:A6,"")</f>
        <v>0</v>
      </c>
      <c r="I2" cm="1">
        <f t="array" ref="I2">_xlfn.XLOOKUP("Juan",Cronograma!H2:H6,Cronograma!A2:A6,"")</f>
        <v>0</v>
      </c>
      <c r="J2" cm="1">
        <f t="array" ref="J2">_xlfn.XLOOKUP("Juan",Cronograma!I2:I6,Cronograma!A2:A6,"")</f>
        <v>0</v>
      </c>
      <c r="K2" cm="1">
        <f t="array" ref="K2">_xlfn.XLOOKUP("Juan",Cronograma!J2:J6,Cronograma!A2:A6,"")</f>
        <v>0</v>
      </c>
      <c r="L2" cm="1">
        <f t="array" ref="L2">_xlfn.XLOOKUP("Juan",Cronograma!K2:K6,Cronograma!A2:A6,"")</f>
        <v>0</v>
      </c>
      <c r="M2" cm="1">
        <f t="array" ref="M2">_xlfn.XLOOKUP("Juan",Cronograma!L2:L6,Cronograma!A2:A6,"")</f>
        <v>0</v>
      </c>
      <c r="N2" cm="1">
        <f t="array" ref="N2">_xlfn.XLOOKUP("Juan",Cronograma!M2:M6,Cronograma!A2:A6,"")</f>
        <v>0</v>
      </c>
      <c r="O2" cm="1">
        <f t="array" ref="O2">_xlfn.XLOOKUP("Juan",Cronograma!N2:N6,Cronograma!A2:A6,"")</f>
        <v>0</v>
      </c>
      <c r="P2" cm="1">
        <f t="array" ref="P2">_xlfn.XLOOKUP("Juan",Cronograma!O2:O6,Cronograma!A2:A6,"")</f>
        <v>0</v>
      </c>
      <c r="Q2" cm="1">
        <f t="array" ref="Q2">_xlfn.XLOOKUP("Juan",Cronograma!P2:P6,Cronograma!A2:A6,"")</f>
        <v>0</v>
      </c>
      <c r="R2" cm="1">
        <f t="array" ref="R2">_xlfn.XLOOKUP("Juan",Cronograma!Q2:Q6,Cronograma!A2:A6,"")</f>
        <v>0</v>
      </c>
      <c r="S2" cm="1">
        <f t="array" ref="S2">_xlfn.XLOOKUP("Juan",Cronograma!R2:R6,Cronograma!A2:A6,"")</f>
        <v>0</v>
      </c>
      <c r="T2" cm="1">
        <f t="array" ref="T2">_xlfn.XLOOKUP("Juan",Cronograma!S2:S6,Cronograma!A2:A6,"")</f>
        <v>0</v>
      </c>
      <c r="U2" cm="1">
        <f t="array" ref="U2">_xlfn.XLOOKUP("Juan",Cronograma!T2:T6,Cronograma!A2:A6,"")</f>
        <v>0</v>
      </c>
      <c r="V2" cm="1">
        <f t="array" ref="V2">_xlfn.XLOOKUP("Juan",Cronograma!U2:U6,Cronograma!A2:A6,"")</f>
        <v>0</v>
      </c>
      <c r="W2" cm="1">
        <f t="array" ref="W2">_xlfn.XLOOKUP("Juan",Cronograma!V2:V6,Cronograma!A2:A6,"")</f>
        <v>0</v>
      </c>
      <c r="X2" cm="1">
        <f t="array" ref="X2">_xlfn.XLOOKUP("Juan",Cronograma!W2:W6,Cronograma!A2:A6,"")</f>
        <v>0</v>
      </c>
      <c r="Y2" cm="1">
        <f t="array" ref="Y2">_xlfn.XLOOKUP("Juan",Cronograma!X2:X6,Cronograma!A2:A6,"")</f>
        <v>0</v>
      </c>
      <c r="Z2" cm="1">
        <f t="array" ref="Z2">_xlfn.XLOOKUP("Juan",Cronograma!Y2:Y6,Cronograma!A2:A6,"")</f>
        <v>0</v>
      </c>
      <c r="AA2" cm="1">
        <f t="array" ref="AA2">_xlfn.XLOOKUP("Juan",Cronograma!Z2:Z6,Cronograma!A2:A6,"")</f>
        <v>0</v>
      </c>
      <c r="AB2" cm="1">
        <f t="array" ref="AB2">_xlfn.XLOOKUP("Juan",Cronograma!AA2:AA6,Cronograma!A2:A6,"")</f>
        <v>0</v>
      </c>
      <c r="AC2" cm="1">
        <f t="array" ref="AC2">_xlfn.XLOOKUP("Juan",Cronograma!AB2:AB6,Cronograma!A2:A6,"")</f>
        <v>0</v>
      </c>
      <c r="AD2" cm="1">
        <f t="array" ref="AD2">_xlfn.XLOOKUP("Juan",Cronograma!AC2:AC6,Cronograma!A2:A6,"")</f>
        <v>0</v>
      </c>
      <c r="AE2" cm="1">
        <f t="array" ref="AE2">_xlfn.XLOOKUP("Juan",Cronograma!AD2:AD6,Cronograma!A2:A6,"")</f>
        <v>0</v>
      </c>
      <c r="AF2" cm="1">
        <f t="array" ref="AF2">_xlfn.XLOOKUP("Juan",Cronograma!AE2:AE6,Cronograma!A2:A6,"")</f>
        <v>0</v>
      </c>
      <c r="AG2" cm="1">
        <f t="array" ref="AG2">_xlfn.XLOOKUP("Juan",Cronograma!AF2:AF6,Cronograma!A2:A6,"")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G2"/>
  <sheetViews>
    <sheetView workbookViewId="0"/>
  </sheetViews>
  <sheetFormatPr defaultRowHeight="15"/>
  <sheetData>
    <row r="1" spans="1:33">
      <c r="A1" s="1" t="s">
        <v>18</v>
      </c>
      <c r="B1" s="1" t="s">
        <v>19</v>
      </c>
      <c r="C1" s="1" t="s">
        <v>20</v>
      </c>
      <c r="D1" s="2">
        <v>45658</v>
      </c>
      <c r="E1" s="2">
        <v>45659</v>
      </c>
      <c r="F1" s="2">
        <v>45660</v>
      </c>
      <c r="G1" s="2">
        <v>45661</v>
      </c>
      <c r="H1" s="2">
        <v>45662</v>
      </c>
      <c r="I1" s="2">
        <v>45663</v>
      </c>
      <c r="J1" s="2">
        <v>45664</v>
      </c>
      <c r="K1" s="2">
        <v>45665</v>
      </c>
      <c r="L1" s="2">
        <v>45666</v>
      </c>
      <c r="M1" s="2">
        <v>45667</v>
      </c>
      <c r="N1" s="2">
        <v>45668</v>
      </c>
      <c r="O1" s="2">
        <v>45669</v>
      </c>
      <c r="P1" s="2">
        <v>45670</v>
      </c>
      <c r="Q1" s="2">
        <v>45671</v>
      </c>
      <c r="R1" s="2">
        <v>45672</v>
      </c>
      <c r="S1" s="2">
        <v>45673</v>
      </c>
      <c r="T1" s="2">
        <v>45674</v>
      </c>
      <c r="U1" s="2">
        <v>45675</v>
      </c>
      <c r="V1" s="2">
        <v>45676</v>
      </c>
      <c r="W1" s="2">
        <v>45677</v>
      </c>
      <c r="X1" s="2">
        <v>45678</v>
      </c>
      <c r="Y1" s="2">
        <v>45679</v>
      </c>
      <c r="Z1" s="2">
        <v>45680</v>
      </c>
      <c r="AA1" s="2">
        <v>45681</v>
      </c>
      <c r="AB1" s="2">
        <v>45682</v>
      </c>
      <c r="AC1" s="2">
        <v>45683</v>
      </c>
      <c r="AD1" s="2">
        <v>45684</v>
      </c>
      <c r="AE1" s="2">
        <v>45685</v>
      </c>
      <c r="AF1" s="2">
        <v>45686</v>
      </c>
      <c r="AG1" s="2">
        <v>45687</v>
      </c>
    </row>
    <row r="2" spans="1:33">
      <c r="A2">
        <f>SUMPRODUCT((Cronograma!B2:B6=FALSE) * (COUNTIF(D2:AG2, Cronograma!A2:A6)))</f>
        <v>0</v>
      </c>
      <c r="B2">
        <f>SUMPRODUCT((Cronograma!B2:B6=TRUE) * (COUNTIF(D2:AG2, Cronograma!A2:A6)))</f>
        <v>0</v>
      </c>
      <c r="C2">
        <f>SUMPRODUCT((E2:AG2="") * NOT(IFERROR(VLOOKUP(N(D2:AF2),Cronograma!A2:B6,2,FALSE), FALSE)))</f>
        <v>0</v>
      </c>
      <c r="D2" cm="1">
        <f t="array" ref="D2">_xlfn.XLOOKUP("Jose",Cronograma!C2:C6,Cronograma!A2:A6,"")</f>
        <v>0</v>
      </c>
      <c r="E2" cm="1">
        <f t="array" ref="E2">_xlfn.XLOOKUP("Jose",Cronograma!D2:D6,Cronograma!A2:A6,"")</f>
        <v>0</v>
      </c>
      <c r="F2" cm="1">
        <f t="array" ref="F2">_xlfn.XLOOKUP("Jose",Cronograma!E2:E6,Cronograma!A2:A6,"")</f>
        <v>0</v>
      </c>
      <c r="G2" cm="1">
        <f t="array" ref="G2">_xlfn.XLOOKUP("Jose",Cronograma!F2:F6,Cronograma!A2:A6,"")</f>
        <v>0</v>
      </c>
      <c r="H2" cm="1">
        <f t="array" ref="H2">_xlfn.XLOOKUP("Jose",Cronograma!G2:G6,Cronograma!A2:A6,"")</f>
        <v>0</v>
      </c>
      <c r="I2" cm="1">
        <f t="array" ref="I2">_xlfn.XLOOKUP("Jose",Cronograma!H2:H6,Cronograma!A2:A6,"")</f>
        <v>0</v>
      </c>
      <c r="J2" cm="1">
        <f t="array" ref="J2">_xlfn.XLOOKUP("Jose",Cronograma!I2:I6,Cronograma!A2:A6,"")</f>
        <v>0</v>
      </c>
      <c r="K2" cm="1">
        <f t="array" ref="K2">_xlfn.XLOOKUP("Jose",Cronograma!J2:J6,Cronograma!A2:A6,"")</f>
        <v>0</v>
      </c>
      <c r="L2" cm="1">
        <f t="array" ref="L2">_xlfn.XLOOKUP("Jose",Cronograma!K2:K6,Cronograma!A2:A6,"")</f>
        <v>0</v>
      </c>
      <c r="M2" cm="1">
        <f t="array" ref="M2">_xlfn.XLOOKUP("Jose",Cronograma!L2:L6,Cronograma!A2:A6,"")</f>
        <v>0</v>
      </c>
      <c r="N2" cm="1">
        <f t="array" ref="N2">_xlfn.XLOOKUP("Jose",Cronograma!M2:M6,Cronograma!A2:A6,"")</f>
        <v>0</v>
      </c>
      <c r="O2" cm="1">
        <f t="array" ref="O2">_xlfn.XLOOKUP("Jose",Cronograma!N2:N6,Cronograma!A2:A6,"")</f>
        <v>0</v>
      </c>
      <c r="P2" cm="1">
        <f t="array" ref="P2">_xlfn.XLOOKUP("Jose",Cronograma!O2:O6,Cronograma!A2:A6,"")</f>
        <v>0</v>
      </c>
      <c r="Q2" cm="1">
        <f t="array" ref="Q2">_xlfn.XLOOKUP("Jose",Cronograma!P2:P6,Cronograma!A2:A6,"")</f>
        <v>0</v>
      </c>
      <c r="R2" cm="1">
        <f t="array" ref="R2">_xlfn.XLOOKUP("Jose",Cronograma!Q2:Q6,Cronograma!A2:A6,"")</f>
        <v>0</v>
      </c>
      <c r="S2" cm="1">
        <f t="array" ref="S2">_xlfn.XLOOKUP("Jose",Cronograma!R2:R6,Cronograma!A2:A6,"")</f>
        <v>0</v>
      </c>
      <c r="T2" cm="1">
        <f t="array" ref="T2">_xlfn.XLOOKUP("Jose",Cronograma!S2:S6,Cronograma!A2:A6,"")</f>
        <v>0</v>
      </c>
      <c r="U2" cm="1">
        <f t="array" ref="U2">_xlfn.XLOOKUP("Jose",Cronograma!T2:T6,Cronograma!A2:A6,"")</f>
        <v>0</v>
      </c>
      <c r="V2" cm="1">
        <f t="array" ref="V2">_xlfn.XLOOKUP("Jose",Cronograma!U2:U6,Cronograma!A2:A6,"")</f>
        <v>0</v>
      </c>
      <c r="W2" cm="1">
        <f t="array" ref="W2">_xlfn.XLOOKUP("Jose",Cronograma!V2:V6,Cronograma!A2:A6,"")</f>
        <v>0</v>
      </c>
      <c r="X2" cm="1">
        <f t="array" ref="X2">_xlfn.XLOOKUP("Jose",Cronograma!W2:W6,Cronograma!A2:A6,"")</f>
        <v>0</v>
      </c>
      <c r="Y2" cm="1">
        <f t="array" ref="Y2">_xlfn.XLOOKUP("Jose",Cronograma!X2:X6,Cronograma!A2:A6,"")</f>
        <v>0</v>
      </c>
      <c r="Z2" cm="1">
        <f t="array" ref="Z2">_xlfn.XLOOKUP("Jose",Cronograma!Y2:Y6,Cronograma!A2:A6,"")</f>
        <v>0</v>
      </c>
      <c r="AA2" cm="1">
        <f t="array" ref="AA2">_xlfn.XLOOKUP("Jose",Cronograma!Z2:Z6,Cronograma!A2:A6,"")</f>
        <v>0</v>
      </c>
      <c r="AB2" cm="1">
        <f t="array" ref="AB2">_xlfn.XLOOKUP("Jose",Cronograma!AA2:AA6,Cronograma!A2:A6,"")</f>
        <v>0</v>
      </c>
      <c r="AC2" cm="1">
        <f t="array" ref="AC2">_xlfn.XLOOKUP("Jose",Cronograma!AB2:AB6,Cronograma!A2:A6,"")</f>
        <v>0</v>
      </c>
      <c r="AD2" cm="1">
        <f t="array" ref="AD2">_xlfn.XLOOKUP("Jose",Cronograma!AC2:AC6,Cronograma!A2:A6,"")</f>
        <v>0</v>
      </c>
      <c r="AE2" cm="1">
        <f t="array" ref="AE2">_xlfn.XLOOKUP("Jose",Cronograma!AD2:AD6,Cronograma!A2:A6,"")</f>
        <v>0</v>
      </c>
      <c r="AF2" cm="1">
        <f t="array" ref="AF2">_xlfn.XLOOKUP("Jose",Cronograma!AE2:AE6,Cronograma!A2:A6,"")</f>
        <v>0</v>
      </c>
      <c r="AG2" cm="1">
        <f t="array" ref="AG2">_xlfn.XLOOKUP("Jose",Cronograma!AF2:AF6,Cronograma!A2:A6,"")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G2"/>
  <sheetViews>
    <sheetView workbookViewId="0"/>
  </sheetViews>
  <sheetFormatPr defaultRowHeight="15"/>
  <sheetData>
    <row r="1" spans="1:33">
      <c r="A1" s="1" t="s">
        <v>18</v>
      </c>
      <c r="B1" s="1" t="s">
        <v>19</v>
      </c>
      <c r="C1" s="1" t="s">
        <v>20</v>
      </c>
      <c r="D1" s="2">
        <v>45658</v>
      </c>
      <c r="E1" s="2">
        <v>45659</v>
      </c>
      <c r="F1" s="2">
        <v>45660</v>
      </c>
      <c r="G1" s="2">
        <v>45661</v>
      </c>
      <c r="H1" s="2">
        <v>45662</v>
      </c>
      <c r="I1" s="2">
        <v>45663</v>
      </c>
      <c r="J1" s="2">
        <v>45664</v>
      </c>
      <c r="K1" s="2">
        <v>45665</v>
      </c>
      <c r="L1" s="2">
        <v>45666</v>
      </c>
      <c r="M1" s="2">
        <v>45667</v>
      </c>
      <c r="N1" s="2">
        <v>45668</v>
      </c>
      <c r="O1" s="2">
        <v>45669</v>
      </c>
      <c r="P1" s="2">
        <v>45670</v>
      </c>
      <c r="Q1" s="2">
        <v>45671</v>
      </c>
      <c r="R1" s="2">
        <v>45672</v>
      </c>
      <c r="S1" s="2">
        <v>45673</v>
      </c>
      <c r="T1" s="2">
        <v>45674</v>
      </c>
      <c r="U1" s="2">
        <v>45675</v>
      </c>
      <c r="V1" s="2">
        <v>45676</v>
      </c>
      <c r="W1" s="2">
        <v>45677</v>
      </c>
      <c r="X1" s="2">
        <v>45678</v>
      </c>
      <c r="Y1" s="2">
        <v>45679</v>
      </c>
      <c r="Z1" s="2">
        <v>45680</v>
      </c>
      <c r="AA1" s="2">
        <v>45681</v>
      </c>
      <c r="AB1" s="2">
        <v>45682</v>
      </c>
      <c r="AC1" s="2">
        <v>45683</v>
      </c>
      <c r="AD1" s="2">
        <v>45684</v>
      </c>
      <c r="AE1" s="2">
        <v>45685</v>
      </c>
      <c r="AF1" s="2">
        <v>45686</v>
      </c>
      <c r="AG1" s="2">
        <v>45687</v>
      </c>
    </row>
    <row r="2" spans="1:33">
      <c r="A2">
        <f>SUMPRODUCT((Cronograma!B2:B6=FALSE) * (COUNTIF(D2:AG2, Cronograma!A2:A6)))</f>
        <v>0</v>
      </c>
      <c r="B2">
        <f>SUMPRODUCT((Cronograma!B2:B6=TRUE) * (COUNTIF(D2:AG2, Cronograma!A2:A6)))</f>
        <v>0</v>
      </c>
      <c r="C2">
        <f>SUMPRODUCT((E2:AG2="") * NOT(IFERROR(VLOOKUP(N(D2:AF2),Cronograma!A2:B6,2,FALSE), FALSE)))</f>
        <v>0</v>
      </c>
      <c r="D2" cm="1">
        <f t="array" ref="D2">_xlfn.XLOOKUP("Pepe",Cronograma!C2:C6,Cronograma!A2:A6,"")</f>
        <v>0</v>
      </c>
      <c r="E2" cm="1">
        <f t="array" ref="E2">_xlfn.XLOOKUP("Pepe",Cronograma!D2:D6,Cronograma!A2:A6,"")</f>
        <v>0</v>
      </c>
      <c r="F2" cm="1">
        <f t="array" ref="F2">_xlfn.XLOOKUP("Pepe",Cronograma!E2:E6,Cronograma!A2:A6,"")</f>
        <v>0</v>
      </c>
      <c r="G2" cm="1">
        <f t="array" ref="G2">_xlfn.XLOOKUP("Pepe",Cronograma!F2:F6,Cronograma!A2:A6,"")</f>
        <v>0</v>
      </c>
      <c r="H2" cm="1">
        <f t="array" ref="H2">_xlfn.XLOOKUP("Pepe",Cronograma!G2:G6,Cronograma!A2:A6,"")</f>
        <v>0</v>
      </c>
      <c r="I2" cm="1">
        <f t="array" ref="I2">_xlfn.XLOOKUP("Pepe",Cronograma!H2:H6,Cronograma!A2:A6,"")</f>
        <v>0</v>
      </c>
      <c r="J2" cm="1">
        <f t="array" ref="J2">_xlfn.XLOOKUP("Pepe",Cronograma!I2:I6,Cronograma!A2:A6,"")</f>
        <v>0</v>
      </c>
      <c r="K2" cm="1">
        <f t="array" ref="K2">_xlfn.XLOOKUP("Pepe",Cronograma!J2:J6,Cronograma!A2:A6,"")</f>
        <v>0</v>
      </c>
      <c r="L2" cm="1">
        <f t="array" ref="L2">_xlfn.XLOOKUP("Pepe",Cronograma!K2:K6,Cronograma!A2:A6,"")</f>
        <v>0</v>
      </c>
      <c r="M2" cm="1">
        <f t="array" ref="M2">_xlfn.XLOOKUP("Pepe",Cronograma!L2:L6,Cronograma!A2:A6,"")</f>
        <v>0</v>
      </c>
      <c r="N2" cm="1">
        <f t="array" ref="N2">_xlfn.XLOOKUP("Pepe",Cronograma!M2:M6,Cronograma!A2:A6,"")</f>
        <v>0</v>
      </c>
      <c r="O2" cm="1">
        <f t="array" ref="O2">_xlfn.XLOOKUP("Pepe",Cronograma!N2:N6,Cronograma!A2:A6,"")</f>
        <v>0</v>
      </c>
      <c r="P2" cm="1">
        <f t="array" ref="P2">_xlfn.XLOOKUP("Pepe",Cronograma!O2:O6,Cronograma!A2:A6,"")</f>
        <v>0</v>
      </c>
      <c r="Q2" cm="1">
        <f t="array" ref="Q2">_xlfn.XLOOKUP("Pepe",Cronograma!P2:P6,Cronograma!A2:A6,"")</f>
        <v>0</v>
      </c>
      <c r="R2" cm="1">
        <f t="array" ref="R2">_xlfn.XLOOKUP("Pepe",Cronograma!Q2:Q6,Cronograma!A2:A6,"")</f>
        <v>0</v>
      </c>
      <c r="S2" cm="1">
        <f t="array" ref="S2">_xlfn.XLOOKUP("Pepe",Cronograma!R2:R6,Cronograma!A2:A6,"")</f>
        <v>0</v>
      </c>
      <c r="T2" cm="1">
        <f t="array" ref="T2">_xlfn.XLOOKUP("Pepe",Cronograma!S2:S6,Cronograma!A2:A6,"")</f>
        <v>0</v>
      </c>
      <c r="U2" cm="1">
        <f t="array" ref="U2">_xlfn.XLOOKUP("Pepe",Cronograma!T2:T6,Cronograma!A2:A6,"")</f>
        <v>0</v>
      </c>
      <c r="V2" cm="1">
        <f t="array" ref="V2">_xlfn.XLOOKUP("Pepe",Cronograma!U2:U6,Cronograma!A2:A6,"")</f>
        <v>0</v>
      </c>
      <c r="W2" cm="1">
        <f t="array" ref="W2">_xlfn.XLOOKUP("Pepe",Cronograma!V2:V6,Cronograma!A2:A6,"")</f>
        <v>0</v>
      </c>
      <c r="X2" cm="1">
        <f t="array" ref="X2">_xlfn.XLOOKUP("Pepe",Cronograma!W2:W6,Cronograma!A2:A6,"")</f>
        <v>0</v>
      </c>
      <c r="Y2" cm="1">
        <f t="array" ref="Y2">_xlfn.XLOOKUP("Pepe",Cronograma!X2:X6,Cronograma!A2:A6,"")</f>
        <v>0</v>
      </c>
      <c r="Z2" cm="1">
        <f t="array" ref="Z2">_xlfn.XLOOKUP("Pepe",Cronograma!Y2:Y6,Cronograma!A2:A6,"")</f>
        <v>0</v>
      </c>
      <c r="AA2" cm="1">
        <f t="array" ref="AA2">_xlfn.XLOOKUP("Pepe",Cronograma!Z2:Z6,Cronograma!A2:A6,"")</f>
        <v>0</v>
      </c>
      <c r="AB2" cm="1">
        <f t="array" ref="AB2">_xlfn.XLOOKUP("Pepe",Cronograma!AA2:AA6,Cronograma!A2:A6,"")</f>
        <v>0</v>
      </c>
      <c r="AC2" cm="1">
        <f t="array" ref="AC2">_xlfn.XLOOKUP("Pepe",Cronograma!AB2:AB6,Cronograma!A2:A6,"")</f>
        <v>0</v>
      </c>
      <c r="AD2" cm="1">
        <f t="array" ref="AD2">_xlfn.XLOOKUP("Pepe",Cronograma!AC2:AC6,Cronograma!A2:A6,"")</f>
        <v>0</v>
      </c>
      <c r="AE2" cm="1">
        <f t="array" ref="AE2">_xlfn.XLOOKUP("Pepe",Cronograma!AD2:AD6,Cronograma!A2:A6,"")</f>
        <v>0</v>
      </c>
      <c r="AF2" cm="1">
        <f t="array" ref="AF2">_xlfn.XLOOKUP("Pepe",Cronograma!AE2:AE6,Cronograma!A2:A6,"")</f>
        <v>0</v>
      </c>
      <c r="AG2" cm="1">
        <f t="array" ref="AG2">_xlfn.XLOOKUP("Pepe",Cronograma!AF2:AF6,Cronograma!A2:A6,"")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G2"/>
  <sheetViews>
    <sheetView workbookViewId="0"/>
  </sheetViews>
  <sheetFormatPr defaultRowHeight="15"/>
  <sheetData>
    <row r="1" spans="1:33">
      <c r="A1" s="1" t="s">
        <v>18</v>
      </c>
      <c r="B1" s="1" t="s">
        <v>19</v>
      </c>
      <c r="C1" s="1" t="s">
        <v>20</v>
      </c>
      <c r="D1" s="2">
        <v>45658</v>
      </c>
      <c r="E1" s="2">
        <v>45659</v>
      </c>
      <c r="F1" s="2">
        <v>45660</v>
      </c>
      <c r="G1" s="2">
        <v>45661</v>
      </c>
      <c r="H1" s="2">
        <v>45662</v>
      </c>
      <c r="I1" s="2">
        <v>45663</v>
      </c>
      <c r="J1" s="2">
        <v>45664</v>
      </c>
      <c r="K1" s="2">
        <v>45665</v>
      </c>
      <c r="L1" s="2">
        <v>45666</v>
      </c>
      <c r="M1" s="2">
        <v>45667</v>
      </c>
      <c r="N1" s="2">
        <v>45668</v>
      </c>
      <c r="O1" s="2">
        <v>45669</v>
      </c>
      <c r="P1" s="2">
        <v>45670</v>
      </c>
      <c r="Q1" s="2">
        <v>45671</v>
      </c>
      <c r="R1" s="2">
        <v>45672</v>
      </c>
      <c r="S1" s="2">
        <v>45673</v>
      </c>
      <c r="T1" s="2">
        <v>45674</v>
      </c>
      <c r="U1" s="2">
        <v>45675</v>
      </c>
      <c r="V1" s="2">
        <v>45676</v>
      </c>
      <c r="W1" s="2">
        <v>45677</v>
      </c>
      <c r="X1" s="2">
        <v>45678</v>
      </c>
      <c r="Y1" s="2">
        <v>45679</v>
      </c>
      <c r="Z1" s="2">
        <v>45680</v>
      </c>
      <c r="AA1" s="2">
        <v>45681</v>
      </c>
      <c r="AB1" s="2">
        <v>45682</v>
      </c>
      <c r="AC1" s="2">
        <v>45683</v>
      </c>
      <c r="AD1" s="2">
        <v>45684</v>
      </c>
      <c r="AE1" s="2">
        <v>45685</v>
      </c>
      <c r="AF1" s="2">
        <v>45686</v>
      </c>
      <c r="AG1" s="2">
        <v>45687</v>
      </c>
    </row>
    <row r="2" spans="1:33">
      <c r="A2">
        <f>SUMPRODUCT((Cronograma!B2:B6=FALSE) * (COUNTIF(D2:AG2, Cronograma!A2:A6)))</f>
        <v>0</v>
      </c>
      <c r="B2">
        <f>SUMPRODUCT((Cronograma!B2:B6=TRUE) * (COUNTIF(D2:AG2, Cronograma!A2:A6)))</f>
        <v>0</v>
      </c>
      <c r="C2">
        <f>SUMPRODUCT((E2:AG2="") * NOT(IFERROR(VLOOKUP(N(D2:AF2),Cronograma!A2:B6,2,FALSE), FALSE)))</f>
        <v>0</v>
      </c>
      <c r="D2" cm="1">
        <f t="array" ref="D2">_xlfn.XLOOKUP("Maria",Cronograma!C2:C6,Cronograma!A2:A6,"")</f>
        <v>0</v>
      </c>
      <c r="E2" cm="1">
        <f t="array" ref="E2">_xlfn.XLOOKUP("Maria",Cronograma!D2:D6,Cronograma!A2:A6,"")</f>
        <v>0</v>
      </c>
      <c r="F2" cm="1">
        <f t="array" ref="F2">_xlfn.XLOOKUP("Maria",Cronograma!E2:E6,Cronograma!A2:A6,"")</f>
        <v>0</v>
      </c>
      <c r="G2" cm="1">
        <f t="array" ref="G2">_xlfn.XLOOKUP("Maria",Cronograma!F2:F6,Cronograma!A2:A6,"")</f>
        <v>0</v>
      </c>
      <c r="H2" cm="1">
        <f t="array" ref="H2">_xlfn.XLOOKUP("Maria",Cronograma!G2:G6,Cronograma!A2:A6,"")</f>
        <v>0</v>
      </c>
      <c r="I2" cm="1">
        <f t="array" ref="I2">_xlfn.XLOOKUP("Maria",Cronograma!H2:H6,Cronograma!A2:A6,"")</f>
        <v>0</v>
      </c>
      <c r="J2" cm="1">
        <f t="array" ref="J2">_xlfn.XLOOKUP("Maria",Cronograma!I2:I6,Cronograma!A2:A6,"")</f>
        <v>0</v>
      </c>
      <c r="K2" cm="1">
        <f t="array" ref="K2">_xlfn.XLOOKUP("Maria",Cronograma!J2:J6,Cronograma!A2:A6,"")</f>
        <v>0</v>
      </c>
      <c r="L2" cm="1">
        <f t="array" ref="L2">_xlfn.XLOOKUP("Maria",Cronograma!K2:K6,Cronograma!A2:A6,"")</f>
        <v>0</v>
      </c>
      <c r="M2" cm="1">
        <f t="array" ref="M2">_xlfn.XLOOKUP("Maria",Cronograma!L2:L6,Cronograma!A2:A6,"")</f>
        <v>0</v>
      </c>
      <c r="N2" cm="1">
        <f t="array" ref="N2">_xlfn.XLOOKUP("Maria",Cronograma!M2:M6,Cronograma!A2:A6,"")</f>
        <v>0</v>
      </c>
      <c r="O2" cm="1">
        <f t="array" ref="O2">_xlfn.XLOOKUP("Maria",Cronograma!N2:N6,Cronograma!A2:A6,"")</f>
        <v>0</v>
      </c>
      <c r="P2" cm="1">
        <f t="array" ref="P2">_xlfn.XLOOKUP("Maria",Cronograma!O2:O6,Cronograma!A2:A6,"")</f>
        <v>0</v>
      </c>
      <c r="Q2" cm="1">
        <f t="array" ref="Q2">_xlfn.XLOOKUP("Maria",Cronograma!P2:P6,Cronograma!A2:A6,"")</f>
        <v>0</v>
      </c>
      <c r="R2" cm="1">
        <f t="array" ref="R2">_xlfn.XLOOKUP("Maria",Cronograma!Q2:Q6,Cronograma!A2:A6,"")</f>
        <v>0</v>
      </c>
      <c r="S2" cm="1">
        <f t="array" ref="S2">_xlfn.XLOOKUP("Maria",Cronograma!R2:R6,Cronograma!A2:A6,"")</f>
        <v>0</v>
      </c>
      <c r="T2" cm="1">
        <f t="array" ref="T2">_xlfn.XLOOKUP("Maria",Cronograma!S2:S6,Cronograma!A2:A6,"")</f>
        <v>0</v>
      </c>
      <c r="U2" cm="1">
        <f t="array" ref="U2">_xlfn.XLOOKUP("Maria",Cronograma!T2:T6,Cronograma!A2:A6,"")</f>
        <v>0</v>
      </c>
      <c r="V2" cm="1">
        <f t="array" ref="V2">_xlfn.XLOOKUP("Maria",Cronograma!U2:U6,Cronograma!A2:A6,"")</f>
        <v>0</v>
      </c>
      <c r="W2" cm="1">
        <f t="array" ref="W2">_xlfn.XLOOKUP("Maria",Cronograma!V2:V6,Cronograma!A2:A6,"")</f>
        <v>0</v>
      </c>
      <c r="X2" cm="1">
        <f t="array" ref="X2">_xlfn.XLOOKUP("Maria",Cronograma!W2:W6,Cronograma!A2:A6,"")</f>
        <v>0</v>
      </c>
      <c r="Y2" cm="1">
        <f t="array" ref="Y2">_xlfn.XLOOKUP("Maria",Cronograma!X2:X6,Cronograma!A2:A6,"")</f>
        <v>0</v>
      </c>
      <c r="Z2" cm="1">
        <f t="array" ref="Z2">_xlfn.XLOOKUP("Maria",Cronograma!Y2:Y6,Cronograma!A2:A6,"")</f>
        <v>0</v>
      </c>
      <c r="AA2" cm="1">
        <f t="array" ref="AA2">_xlfn.XLOOKUP("Maria",Cronograma!Z2:Z6,Cronograma!A2:A6,"")</f>
        <v>0</v>
      </c>
      <c r="AB2" cm="1">
        <f t="array" ref="AB2">_xlfn.XLOOKUP("Maria",Cronograma!AA2:AA6,Cronograma!A2:A6,"")</f>
        <v>0</v>
      </c>
      <c r="AC2" cm="1">
        <f t="array" ref="AC2">_xlfn.XLOOKUP("Maria",Cronograma!AB2:AB6,Cronograma!A2:A6,"")</f>
        <v>0</v>
      </c>
      <c r="AD2" cm="1">
        <f t="array" ref="AD2">_xlfn.XLOOKUP("Maria",Cronograma!AC2:AC6,Cronograma!A2:A6,"")</f>
        <v>0</v>
      </c>
      <c r="AE2" cm="1">
        <f t="array" ref="AE2">_xlfn.XLOOKUP("Maria",Cronograma!AD2:AD6,Cronograma!A2:A6,"")</f>
        <v>0</v>
      </c>
      <c r="AF2" cm="1">
        <f t="array" ref="AF2">_xlfn.XLOOKUP("Maria",Cronograma!AE2:AE6,Cronograma!A2:A6,"")</f>
        <v>0</v>
      </c>
      <c r="AG2" cm="1">
        <f t="array" ref="AG2">_xlfn.XLOOKUP("Maria",Cronograma!AF2:AF6,Cronograma!A2:A6,"")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G2"/>
  <sheetViews>
    <sheetView workbookViewId="0"/>
  </sheetViews>
  <sheetFormatPr defaultRowHeight="15"/>
  <sheetData>
    <row r="1" spans="1:33">
      <c r="A1" s="1" t="s">
        <v>18</v>
      </c>
      <c r="B1" s="1" t="s">
        <v>19</v>
      </c>
      <c r="C1" s="1" t="s">
        <v>20</v>
      </c>
      <c r="D1" s="2">
        <v>45658</v>
      </c>
      <c r="E1" s="2">
        <v>45659</v>
      </c>
      <c r="F1" s="2">
        <v>45660</v>
      </c>
      <c r="G1" s="2">
        <v>45661</v>
      </c>
      <c r="H1" s="2">
        <v>45662</v>
      </c>
      <c r="I1" s="2">
        <v>45663</v>
      </c>
      <c r="J1" s="2">
        <v>45664</v>
      </c>
      <c r="K1" s="2">
        <v>45665</v>
      </c>
      <c r="L1" s="2">
        <v>45666</v>
      </c>
      <c r="M1" s="2">
        <v>45667</v>
      </c>
      <c r="N1" s="2">
        <v>45668</v>
      </c>
      <c r="O1" s="2">
        <v>45669</v>
      </c>
      <c r="P1" s="2">
        <v>45670</v>
      </c>
      <c r="Q1" s="2">
        <v>45671</v>
      </c>
      <c r="R1" s="2">
        <v>45672</v>
      </c>
      <c r="S1" s="2">
        <v>45673</v>
      </c>
      <c r="T1" s="2">
        <v>45674</v>
      </c>
      <c r="U1" s="2">
        <v>45675</v>
      </c>
      <c r="V1" s="2">
        <v>45676</v>
      </c>
      <c r="W1" s="2">
        <v>45677</v>
      </c>
      <c r="X1" s="2">
        <v>45678</v>
      </c>
      <c r="Y1" s="2">
        <v>45679</v>
      </c>
      <c r="Z1" s="2">
        <v>45680</v>
      </c>
      <c r="AA1" s="2">
        <v>45681</v>
      </c>
      <c r="AB1" s="2">
        <v>45682</v>
      </c>
      <c r="AC1" s="2">
        <v>45683</v>
      </c>
      <c r="AD1" s="2">
        <v>45684</v>
      </c>
      <c r="AE1" s="2">
        <v>45685</v>
      </c>
      <c r="AF1" s="2">
        <v>45686</v>
      </c>
      <c r="AG1" s="2">
        <v>45687</v>
      </c>
    </row>
    <row r="2" spans="1:33">
      <c r="A2">
        <f>SUMPRODUCT((Cronograma!B2:B6=FALSE) * (COUNTIF(D2:AG2, Cronograma!A2:A6)))</f>
        <v>0</v>
      </c>
      <c r="B2">
        <f>SUMPRODUCT((Cronograma!B2:B6=TRUE) * (COUNTIF(D2:AG2, Cronograma!A2:A6)))</f>
        <v>0</v>
      </c>
      <c r="C2">
        <f>SUMPRODUCT((E2:AG2="") * NOT(IFERROR(VLOOKUP(N(D2:AF2),Cronograma!A2:B6,2,FALSE), FALSE)))</f>
        <v>0</v>
      </c>
      <c r="D2" cm="1">
        <f t="array" ref="D2">_xlfn.XLOOKUP("Camilo",Cronograma!C2:C6,Cronograma!A2:A6,"")</f>
        <v>0</v>
      </c>
      <c r="E2" cm="1">
        <f t="array" ref="E2">_xlfn.XLOOKUP("Camilo",Cronograma!D2:D6,Cronograma!A2:A6,"")</f>
        <v>0</v>
      </c>
      <c r="F2" cm="1">
        <f t="array" ref="F2">_xlfn.XLOOKUP("Camilo",Cronograma!E2:E6,Cronograma!A2:A6,"")</f>
        <v>0</v>
      </c>
      <c r="G2" cm="1">
        <f t="array" ref="G2">_xlfn.XLOOKUP("Camilo",Cronograma!F2:F6,Cronograma!A2:A6,"")</f>
        <v>0</v>
      </c>
      <c r="H2" cm="1">
        <f t="array" ref="H2">_xlfn.XLOOKUP("Camilo",Cronograma!G2:G6,Cronograma!A2:A6,"")</f>
        <v>0</v>
      </c>
      <c r="I2" cm="1">
        <f t="array" ref="I2">_xlfn.XLOOKUP("Camilo",Cronograma!H2:H6,Cronograma!A2:A6,"")</f>
        <v>0</v>
      </c>
      <c r="J2" cm="1">
        <f t="array" ref="J2">_xlfn.XLOOKUP("Camilo",Cronograma!I2:I6,Cronograma!A2:A6,"")</f>
        <v>0</v>
      </c>
      <c r="K2" cm="1">
        <f t="array" ref="K2">_xlfn.XLOOKUP("Camilo",Cronograma!J2:J6,Cronograma!A2:A6,"")</f>
        <v>0</v>
      </c>
      <c r="L2" cm="1">
        <f t="array" ref="L2">_xlfn.XLOOKUP("Camilo",Cronograma!K2:K6,Cronograma!A2:A6,"")</f>
        <v>0</v>
      </c>
      <c r="M2" cm="1">
        <f t="array" ref="M2">_xlfn.XLOOKUP("Camilo",Cronograma!L2:L6,Cronograma!A2:A6,"")</f>
        <v>0</v>
      </c>
      <c r="N2" cm="1">
        <f t="array" ref="N2">_xlfn.XLOOKUP("Camilo",Cronograma!M2:M6,Cronograma!A2:A6,"")</f>
        <v>0</v>
      </c>
      <c r="O2" cm="1">
        <f t="array" ref="O2">_xlfn.XLOOKUP("Camilo",Cronograma!N2:N6,Cronograma!A2:A6,"")</f>
        <v>0</v>
      </c>
      <c r="P2" cm="1">
        <f t="array" ref="P2">_xlfn.XLOOKUP("Camilo",Cronograma!O2:O6,Cronograma!A2:A6,"")</f>
        <v>0</v>
      </c>
      <c r="Q2" cm="1">
        <f t="array" ref="Q2">_xlfn.XLOOKUP("Camilo",Cronograma!P2:P6,Cronograma!A2:A6,"")</f>
        <v>0</v>
      </c>
      <c r="R2" cm="1">
        <f t="array" ref="R2">_xlfn.XLOOKUP("Camilo",Cronograma!Q2:Q6,Cronograma!A2:A6,"")</f>
        <v>0</v>
      </c>
      <c r="S2" cm="1">
        <f t="array" ref="S2">_xlfn.XLOOKUP("Camilo",Cronograma!R2:R6,Cronograma!A2:A6,"")</f>
        <v>0</v>
      </c>
      <c r="T2" cm="1">
        <f t="array" ref="T2">_xlfn.XLOOKUP("Camilo",Cronograma!S2:S6,Cronograma!A2:A6,"")</f>
        <v>0</v>
      </c>
      <c r="U2" cm="1">
        <f t="array" ref="U2">_xlfn.XLOOKUP("Camilo",Cronograma!T2:T6,Cronograma!A2:A6,"")</f>
        <v>0</v>
      </c>
      <c r="V2" cm="1">
        <f t="array" ref="V2">_xlfn.XLOOKUP("Camilo",Cronograma!U2:U6,Cronograma!A2:A6,"")</f>
        <v>0</v>
      </c>
      <c r="W2" cm="1">
        <f t="array" ref="W2">_xlfn.XLOOKUP("Camilo",Cronograma!V2:V6,Cronograma!A2:A6,"")</f>
        <v>0</v>
      </c>
      <c r="X2" cm="1">
        <f t="array" ref="X2">_xlfn.XLOOKUP("Camilo",Cronograma!W2:W6,Cronograma!A2:A6,"")</f>
        <v>0</v>
      </c>
      <c r="Y2" cm="1">
        <f t="array" ref="Y2">_xlfn.XLOOKUP("Camilo",Cronograma!X2:X6,Cronograma!A2:A6,"")</f>
        <v>0</v>
      </c>
      <c r="Z2" cm="1">
        <f t="array" ref="Z2">_xlfn.XLOOKUP("Camilo",Cronograma!Y2:Y6,Cronograma!A2:A6,"")</f>
        <v>0</v>
      </c>
      <c r="AA2" cm="1">
        <f t="array" ref="AA2">_xlfn.XLOOKUP("Camilo",Cronograma!Z2:Z6,Cronograma!A2:A6,"")</f>
        <v>0</v>
      </c>
      <c r="AB2" cm="1">
        <f t="array" ref="AB2">_xlfn.XLOOKUP("Camilo",Cronograma!AA2:AA6,Cronograma!A2:A6,"")</f>
        <v>0</v>
      </c>
      <c r="AC2" cm="1">
        <f t="array" ref="AC2">_xlfn.XLOOKUP("Camilo",Cronograma!AB2:AB6,Cronograma!A2:A6,"")</f>
        <v>0</v>
      </c>
      <c r="AD2" cm="1">
        <f t="array" ref="AD2">_xlfn.XLOOKUP("Camilo",Cronograma!AC2:AC6,Cronograma!A2:A6,"")</f>
        <v>0</v>
      </c>
      <c r="AE2" cm="1">
        <f t="array" ref="AE2">_xlfn.XLOOKUP("Camilo",Cronograma!AD2:AD6,Cronograma!A2:A6,"")</f>
        <v>0</v>
      </c>
      <c r="AF2" cm="1">
        <f t="array" ref="AF2">_xlfn.XLOOKUP("Camilo",Cronograma!AE2:AE6,Cronograma!A2:A6,"")</f>
        <v>0</v>
      </c>
      <c r="AG2" cm="1">
        <f t="array" ref="AG2">_xlfn.XLOOKUP("Camilo",Cronograma!AF2:AF6,Cronograma!A2:A6,"")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G2"/>
  <sheetViews>
    <sheetView workbookViewId="0"/>
  </sheetViews>
  <sheetFormatPr defaultRowHeight="15"/>
  <sheetData>
    <row r="1" spans="1:33">
      <c r="A1" s="1" t="s">
        <v>18</v>
      </c>
      <c r="B1" s="1" t="s">
        <v>19</v>
      </c>
      <c r="C1" s="1" t="s">
        <v>20</v>
      </c>
      <c r="D1" s="2">
        <v>45658</v>
      </c>
      <c r="E1" s="2">
        <v>45659</v>
      </c>
      <c r="F1" s="2">
        <v>45660</v>
      </c>
      <c r="G1" s="2">
        <v>45661</v>
      </c>
      <c r="H1" s="2">
        <v>45662</v>
      </c>
      <c r="I1" s="2">
        <v>45663</v>
      </c>
      <c r="J1" s="2">
        <v>45664</v>
      </c>
      <c r="K1" s="2">
        <v>45665</v>
      </c>
      <c r="L1" s="2">
        <v>45666</v>
      </c>
      <c r="M1" s="2">
        <v>45667</v>
      </c>
      <c r="N1" s="2">
        <v>45668</v>
      </c>
      <c r="O1" s="2">
        <v>45669</v>
      </c>
      <c r="P1" s="2">
        <v>45670</v>
      </c>
      <c r="Q1" s="2">
        <v>45671</v>
      </c>
      <c r="R1" s="2">
        <v>45672</v>
      </c>
      <c r="S1" s="2">
        <v>45673</v>
      </c>
      <c r="T1" s="2">
        <v>45674</v>
      </c>
      <c r="U1" s="2">
        <v>45675</v>
      </c>
      <c r="V1" s="2">
        <v>45676</v>
      </c>
      <c r="W1" s="2">
        <v>45677</v>
      </c>
      <c r="X1" s="2">
        <v>45678</v>
      </c>
      <c r="Y1" s="2">
        <v>45679</v>
      </c>
      <c r="Z1" s="2">
        <v>45680</v>
      </c>
      <c r="AA1" s="2">
        <v>45681</v>
      </c>
      <c r="AB1" s="2">
        <v>45682</v>
      </c>
      <c r="AC1" s="2">
        <v>45683</v>
      </c>
      <c r="AD1" s="2">
        <v>45684</v>
      </c>
      <c r="AE1" s="2">
        <v>45685</v>
      </c>
      <c r="AF1" s="2">
        <v>45686</v>
      </c>
      <c r="AG1" s="2">
        <v>45687</v>
      </c>
    </row>
    <row r="2" spans="1:33">
      <c r="A2">
        <f>SUMPRODUCT((Cronograma!B2:B6=FALSE) * (COUNTIF(D2:AG2, Cronograma!A2:A6)))</f>
        <v>0</v>
      </c>
      <c r="B2">
        <f>SUMPRODUCT((Cronograma!B2:B6=TRUE) * (COUNTIF(D2:AG2, Cronograma!A2:A6)))</f>
        <v>0</v>
      </c>
      <c r="C2">
        <f>SUMPRODUCT((E2:AG2="") * NOT(IFERROR(VLOOKUP(N(D2:AF2),Cronograma!A2:B6,2,FALSE), FALSE)))</f>
        <v>0</v>
      </c>
      <c r="D2" cm="1">
        <f t="array" ref="D2">_xlfn.XLOOKUP("Edwin",Cronograma!C2:C6,Cronograma!A2:A6,"")</f>
        <v>0</v>
      </c>
      <c r="E2" cm="1">
        <f t="array" ref="E2">_xlfn.XLOOKUP("Edwin",Cronograma!D2:D6,Cronograma!A2:A6,"")</f>
        <v>0</v>
      </c>
      <c r="F2" cm="1">
        <f t="array" ref="F2">_xlfn.XLOOKUP("Edwin",Cronograma!E2:E6,Cronograma!A2:A6,"")</f>
        <v>0</v>
      </c>
      <c r="G2" cm="1">
        <f t="array" ref="G2">_xlfn.XLOOKUP("Edwin",Cronograma!F2:F6,Cronograma!A2:A6,"")</f>
        <v>0</v>
      </c>
      <c r="H2" cm="1">
        <f t="array" ref="H2">_xlfn.XLOOKUP("Edwin",Cronograma!G2:G6,Cronograma!A2:A6,"")</f>
        <v>0</v>
      </c>
      <c r="I2" cm="1">
        <f t="array" ref="I2">_xlfn.XLOOKUP("Edwin",Cronograma!H2:H6,Cronograma!A2:A6,"")</f>
        <v>0</v>
      </c>
      <c r="J2" cm="1">
        <f t="array" ref="J2">_xlfn.XLOOKUP("Edwin",Cronograma!I2:I6,Cronograma!A2:A6,"")</f>
        <v>0</v>
      </c>
      <c r="K2" cm="1">
        <f t="array" ref="K2">_xlfn.XLOOKUP("Edwin",Cronograma!J2:J6,Cronograma!A2:A6,"")</f>
        <v>0</v>
      </c>
      <c r="L2" cm="1">
        <f t="array" ref="L2">_xlfn.XLOOKUP("Edwin",Cronograma!K2:K6,Cronograma!A2:A6,"")</f>
        <v>0</v>
      </c>
      <c r="M2" cm="1">
        <f t="array" ref="M2">_xlfn.XLOOKUP("Edwin",Cronograma!L2:L6,Cronograma!A2:A6,"")</f>
        <v>0</v>
      </c>
      <c r="N2" cm="1">
        <f t="array" ref="N2">_xlfn.XLOOKUP("Edwin",Cronograma!M2:M6,Cronograma!A2:A6,"")</f>
        <v>0</v>
      </c>
      <c r="O2" cm="1">
        <f t="array" ref="O2">_xlfn.XLOOKUP("Edwin",Cronograma!N2:N6,Cronograma!A2:A6,"")</f>
        <v>0</v>
      </c>
      <c r="P2" cm="1">
        <f t="array" ref="P2">_xlfn.XLOOKUP("Edwin",Cronograma!O2:O6,Cronograma!A2:A6,"")</f>
        <v>0</v>
      </c>
      <c r="Q2" cm="1">
        <f t="array" ref="Q2">_xlfn.XLOOKUP("Edwin",Cronograma!P2:P6,Cronograma!A2:A6,"")</f>
        <v>0</v>
      </c>
      <c r="R2" cm="1">
        <f t="array" ref="R2">_xlfn.XLOOKUP("Edwin",Cronograma!Q2:Q6,Cronograma!A2:A6,"")</f>
        <v>0</v>
      </c>
      <c r="S2" cm="1">
        <f t="array" ref="S2">_xlfn.XLOOKUP("Edwin",Cronograma!R2:R6,Cronograma!A2:A6,"")</f>
        <v>0</v>
      </c>
      <c r="T2" cm="1">
        <f t="array" ref="T2">_xlfn.XLOOKUP("Edwin",Cronograma!S2:S6,Cronograma!A2:A6,"")</f>
        <v>0</v>
      </c>
      <c r="U2" cm="1">
        <f t="array" ref="U2">_xlfn.XLOOKUP("Edwin",Cronograma!T2:T6,Cronograma!A2:A6,"")</f>
        <v>0</v>
      </c>
      <c r="V2" cm="1">
        <f t="array" ref="V2">_xlfn.XLOOKUP("Edwin",Cronograma!U2:U6,Cronograma!A2:A6,"")</f>
        <v>0</v>
      </c>
      <c r="W2" cm="1">
        <f t="array" ref="W2">_xlfn.XLOOKUP("Edwin",Cronograma!V2:V6,Cronograma!A2:A6,"")</f>
        <v>0</v>
      </c>
      <c r="X2" cm="1">
        <f t="array" ref="X2">_xlfn.XLOOKUP("Edwin",Cronograma!W2:W6,Cronograma!A2:A6,"")</f>
        <v>0</v>
      </c>
      <c r="Y2" cm="1">
        <f t="array" ref="Y2">_xlfn.XLOOKUP("Edwin",Cronograma!X2:X6,Cronograma!A2:A6,"")</f>
        <v>0</v>
      </c>
      <c r="Z2" cm="1">
        <f t="array" ref="Z2">_xlfn.XLOOKUP("Edwin",Cronograma!Y2:Y6,Cronograma!A2:A6,"")</f>
        <v>0</v>
      </c>
      <c r="AA2" cm="1">
        <f t="array" ref="AA2">_xlfn.XLOOKUP("Edwin",Cronograma!Z2:Z6,Cronograma!A2:A6,"")</f>
        <v>0</v>
      </c>
      <c r="AB2" cm="1">
        <f t="array" ref="AB2">_xlfn.XLOOKUP("Edwin",Cronograma!AA2:AA6,Cronograma!A2:A6,"")</f>
        <v>0</v>
      </c>
      <c r="AC2" cm="1">
        <f t="array" ref="AC2">_xlfn.XLOOKUP("Edwin",Cronograma!AB2:AB6,Cronograma!A2:A6,"")</f>
        <v>0</v>
      </c>
      <c r="AD2" cm="1">
        <f t="array" ref="AD2">_xlfn.XLOOKUP("Edwin",Cronograma!AC2:AC6,Cronograma!A2:A6,"")</f>
        <v>0</v>
      </c>
      <c r="AE2" cm="1">
        <f t="array" ref="AE2">_xlfn.XLOOKUP("Edwin",Cronograma!AD2:AD6,Cronograma!A2:A6,"")</f>
        <v>0</v>
      </c>
      <c r="AF2" cm="1">
        <f t="array" ref="AF2">_xlfn.XLOOKUP("Edwin",Cronograma!AE2:AE6,Cronograma!A2:A6,"")</f>
        <v>0</v>
      </c>
      <c r="AG2" cm="1">
        <f t="array" ref="AG2">_xlfn.XLOOKUP("Edwin",Cronograma!AF2:AF6,Cronograma!A2:A6,"")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G2"/>
  <sheetViews>
    <sheetView workbookViewId="0"/>
  </sheetViews>
  <sheetFormatPr defaultRowHeight="15"/>
  <sheetData>
    <row r="1" spans="1:33">
      <c r="A1" s="1" t="s">
        <v>18</v>
      </c>
      <c r="B1" s="1" t="s">
        <v>19</v>
      </c>
      <c r="C1" s="1" t="s">
        <v>20</v>
      </c>
      <c r="D1" s="2">
        <v>45658</v>
      </c>
      <c r="E1" s="2">
        <v>45659</v>
      </c>
      <c r="F1" s="2">
        <v>45660</v>
      </c>
      <c r="G1" s="2">
        <v>45661</v>
      </c>
      <c r="H1" s="2">
        <v>45662</v>
      </c>
      <c r="I1" s="2">
        <v>45663</v>
      </c>
      <c r="J1" s="2">
        <v>45664</v>
      </c>
      <c r="K1" s="2">
        <v>45665</v>
      </c>
      <c r="L1" s="2">
        <v>45666</v>
      </c>
      <c r="M1" s="2">
        <v>45667</v>
      </c>
      <c r="N1" s="2">
        <v>45668</v>
      </c>
      <c r="O1" s="2">
        <v>45669</v>
      </c>
      <c r="P1" s="2">
        <v>45670</v>
      </c>
      <c r="Q1" s="2">
        <v>45671</v>
      </c>
      <c r="R1" s="2">
        <v>45672</v>
      </c>
      <c r="S1" s="2">
        <v>45673</v>
      </c>
      <c r="T1" s="2">
        <v>45674</v>
      </c>
      <c r="U1" s="2">
        <v>45675</v>
      </c>
      <c r="V1" s="2">
        <v>45676</v>
      </c>
      <c r="W1" s="2">
        <v>45677</v>
      </c>
      <c r="X1" s="2">
        <v>45678</v>
      </c>
      <c r="Y1" s="2">
        <v>45679</v>
      </c>
      <c r="Z1" s="2">
        <v>45680</v>
      </c>
      <c r="AA1" s="2">
        <v>45681</v>
      </c>
      <c r="AB1" s="2">
        <v>45682</v>
      </c>
      <c r="AC1" s="2">
        <v>45683</v>
      </c>
      <c r="AD1" s="2">
        <v>45684</v>
      </c>
      <c r="AE1" s="2">
        <v>45685</v>
      </c>
      <c r="AF1" s="2">
        <v>45686</v>
      </c>
      <c r="AG1" s="2">
        <v>45687</v>
      </c>
    </row>
    <row r="2" spans="1:33">
      <c r="A2">
        <f>SUMPRODUCT((Cronograma!B2:B6=FALSE) * (COUNTIF(D2:AG2, Cronograma!A2:A6)))</f>
        <v>0</v>
      </c>
      <c r="B2">
        <f>SUMPRODUCT((Cronograma!B2:B6=TRUE) * (COUNTIF(D2:AG2, Cronograma!A2:A6)))</f>
        <v>0</v>
      </c>
      <c r="C2">
        <f>SUMPRODUCT((E2:AG2="") * NOT(IFERROR(VLOOKUP(N(D2:AF2),Cronograma!A2:B6,2,FALSE), FALSE)))</f>
        <v>0</v>
      </c>
      <c r="D2" cm="1">
        <f t="array" ref="D2">_xlfn.XLOOKUP("Karol",Cronograma!C2:C6,Cronograma!A2:A6,"")</f>
        <v>0</v>
      </c>
      <c r="E2" cm="1">
        <f t="array" ref="E2">_xlfn.XLOOKUP("Karol",Cronograma!D2:D6,Cronograma!A2:A6,"")</f>
        <v>0</v>
      </c>
      <c r="F2" cm="1">
        <f t="array" ref="F2">_xlfn.XLOOKUP("Karol",Cronograma!E2:E6,Cronograma!A2:A6,"")</f>
        <v>0</v>
      </c>
      <c r="G2" cm="1">
        <f t="array" ref="G2">_xlfn.XLOOKUP("Karol",Cronograma!F2:F6,Cronograma!A2:A6,"")</f>
        <v>0</v>
      </c>
      <c r="H2" cm="1">
        <f t="array" ref="H2">_xlfn.XLOOKUP("Karol",Cronograma!G2:G6,Cronograma!A2:A6,"")</f>
        <v>0</v>
      </c>
      <c r="I2" cm="1">
        <f t="array" ref="I2">_xlfn.XLOOKUP("Karol",Cronograma!H2:H6,Cronograma!A2:A6,"")</f>
        <v>0</v>
      </c>
      <c r="J2" cm="1">
        <f t="array" ref="J2">_xlfn.XLOOKUP("Karol",Cronograma!I2:I6,Cronograma!A2:A6,"")</f>
        <v>0</v>
      </c>
      <c r="K2" cm="1">
        <f t="array" ref="K2">_xlfn.XLOOKUP("Karol",Cronograma!J2:J6,Cronograma!A2:A6,"")</f>
        <v>0</v>
      </c>
      <c r="L2" cm="1">
        <f t="array" ref="L2">_xlfn.XLOOKUP("Karol",Cronograma!K2:K6,Cronograma!A2:A6,"")</f>
        <v>0</v>
      </c>
      <c r="M2" cm="1">
        <f t="array" ref="M2">_xlfn.XLOOKUP("Karol",Cronograma!L2:L6,Cronograma!A2:A6,"")</f>
        <v>0</v>
      </c>
      <c r="N2" cm="1">
        <f t="array" ref="N2">_xlfn.XLOOKUP("Karol",Cronograma!M2:M6,Cronograma!A2:A6,"")</f>
        <v>0</v>
      </c>
      <c r="O2" cm="1">
        <f t="array" ref="O2">_xlfn.XLOOKUP("Karol",Cronograma!N2:N6,Cronograma!A2:A6,"")</f>
        <v>0</v>
      </c>
      <c r="P2" cm="1">
        <f t="array" ref="P2">_xlfn.XLOOKUP("Karol",Cronograma!O2:O6,Cronograma!A2:A6,"")</f>
        <v>0</v>
      </c>
      <c r="Q2" cm="1">
        <f t="array" ref="Q2">_xlfn.XLOOKUP("Karol",Cronograma!P2:P6,Cronograma!A2:A6,"")</f>
        <v>0</v>
      </c>
      <c r="R2" cm="1">
        <f t="array" ref="R2">_xlfn.XLOOKUP("Karol",Cronograma!Q2:Q6,Cronograma!A2:A6,"")</f>
        <v>0</v>
      </c>
      <c r="S2" cm="1">
        <f t="array" ref="S2">_xlfn.XLOOKUP("Karol",Cronograma!R2:R6,Cronograma!A2:A6,"")</f>
        <v>0</v>
      </c>
      <c r="T2" cm="1">
        <f t="array" ref="T2">_xlfn.XLOOKUP("Karol",Cronograma!S2:S6,Cronograma!A2:A6,"")</f>
        <v>0</v>
      </c>
      <c r="U2" cm="1">
        <f t="array" ref="U2">_xlfn.XLOOKUP("Karol",Cronograma!T2:T6,Cronograma!A2:A6,"")</f>
        <v>0</v>
      </c>
      <c r="V2" cm="1">
        <f t="array" ref="V2">_xlfn.XLOOKUP("Karol",Cronograma!U2:U6,Cronograma!A2:A6,"")</f>
        <v>0</v>
      </c>
      <c r="W2" cm="1">
        <f t="array" ref="W2">_xlfn.XLOOKUP("Karol",Cronograma!V2:V6,Cronograma!A2:A6,"")</f>
        <v>0</v>
      </c>
      <c r="X2" cm="1">
        <f t="array" ref="X2">_xlfn.XLOOKUP("Karol",Cronograma!W2:W6,Cronograma!A2:A6,"")</f>
        <v>0</v>
      </c>
      <c r="Y2" cm="1">
        <f t="array" ref="Y2">_xlfn.XLOOKUP("Karol",Cronograma!X2:X6,Cronograma!A2:A6,"")</f>
        <v>0</v>
      </c>
      <c r="Z2" cm="1">
        <f t="array" ref="Z2">_xlfn.XLOOKUP("Karol",Cronograma!Y2:Y6,Cronograma!A2:A6,"")</f>
        <v>0</v>
      </c>
      <c r="AA2" cm="1">
        <f t="array" ref="AA2">_xlfn.XLOOKUP("Karol",Cronograma!Z2:Z6,Cronograma!A2:A6,"")</f>
        <v>0</v>
      </c>
      <c r="AB2" cm="1">
        <f t="array" ref="AB2">_xlfn.XLOOKUP("Karol",Cronograma!AA2:AA6,Cronograma!A2:A6,"")</f>
        <v>0</v>
      </c>
      <c r="AC2" cm="1">
        <f t="array" ref="AC2">_xlfn.XLOOKUP("Karol",Cronograma!AB2:AB6,Cronograma!A2:A6,"")</f>
        <v>0</v>
      </c>
      <c r="AD2" cm="1">
        <f t="array" ref="AD2">_xlfn.XLOOKUP("Karol",Cronograma!AC2:AC6,Cronograma!A2:A6,"")</f>
        <v>0</v>
      </c>
      <c r="AE2" cm="1">
        <f t="array" ref="AE2">_xlfn.XLOOKUP("Karol",Cronograma!AD2:AD6,Cronograma!A2:A6,"")</f>
        <v>0</v>
      </c>
      <c r="AF2" cm="1">
        <f t="array" ref="AF2">_xlfn.XLOOKUP("Karol",Cronograma!AE2:AE6,Cronograma!A2:A6,"")</f>
        <v>0</v>
      </c>
      <c r="AG2" cm="1">
        <f t="array" ref="AG2">_xlfn.XLOOKUP("Karol",Cronograma!AF2:AF6,Cronograma!A2:A6,"")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G2"/>
  <sheetViews>
    <sheetView workbookViewId="0"/>
  </sheetViews>
  <sheetFormatPr defaultRowHeight="15"/>
  <sheetData>
    <row r="1" spans="1:33">
      <c r="A1" s="1" t="s">
        <v>18</v>
      </c>
      <c r="B1" s="1" t="s">
        <v>19</v>
      </c>
      <c r="C1" s="1" t="s">
        <v>20</v>
      </c>
      <c r="D1" s="2">
        <v>45658</v>
      </c>
      <c r="E1" s="2">
        <v>45659</v>
      </c>
      <c r="F1" s="2">
        <v>45660</v>
      </c>
      <c r="G1" s="2">
        <v>45661</v>
      </c>
      <c r="H1" s="2">
        <v>45662</v>
      </c>
      <c r="I1" s="2">
        <v>45663</v>
      </c>
      <c r="J1" s="2">
        <v>45664</v>
      </c>
      <c r="K1" s="2">
        <v>45665</v>
      </c>
      <c r="L1" s="2">
        <v>45666</v>
      </c>
      <c r="M1" s="2">
        <v>45667</v>
      </c>
      <c r="N1" s="2">
        <v>45668</v>
      </c>
      <c r="O1" s="2">
        <v>45669</v>
      </c>
      <c r="P1" s="2">
        <v>45670</v>
      </c>
      <c r="Q1" s="2">
        <v>45671</v>
      </c>
      <c r="R1" s="2">
        <v>45672</v>
      </c>
      <c r="S1" s="2">
        <v>45673</v>
      </c>
      <c r="T1" s="2">
        <v>45674</v>
      </c>
      <c r="U1" s="2">
        <v>45675</v>
      </c>
      <c r="V1" s="2">
        <v>45676</v>
      </c>
      <c r="W1" s="2">
        <v>45677</v>
      </c>
      <c r="X1" s="2">
        <v>45678</v>
      </c>
      <c r="Y1" s="2">
        <v>45679</v>
      </c>
      <c r="Z1" s="2">
        <v>45680</v>
      </c>
      <c r="AA1" s="2">
        <v>45681</v>
      </c>
      <c r="AB1" s="2">
        <v>45682</v>
      </c>
      <c r="AC1" s="2">
        <v>45683</v>
      </c>
      <c r="AD1" s="2">
        <v>45684</v>
      </c>
      <c r="AE1" s="2">
        <v>45685</v>
      </c>
      <c r="AF1" s="2">
        <v>45686</v>
      </c>
      <c r="AG1" s="2">
        <v>45687</v>
      </c>
    </row>
    <row r="2" spans="1:33">
      <c r="A2">
        <f>SUMPRODUCT((Cronograma!B2:B6=FALSE) * (COUNTIF(D2:AG2, Cronograma!A2:A6)))</f>
        <v>0</v>
      </c>
      <c r="B2">
        <f>SUMPRODUCT((Cronograma!B2:B6=TRUE) * (COUNTIF(D2:AG2, Cronograma!A2:A6)))</f>
        <v>0</v>
      </c>
      <c r="C2">
        <f>SUMPRODUCT((E2:AG2="") * NOT(IFERROR(VLOOKUP(N(D2:AF2),Cronograma!A2:B6,2,FALSE), FALSE)))</f>
        <v>0</v>
      </c>
      <c r="D2" cm="1">
        <f t="array" ref="D2">_xlfn.XLOOKUP("Sara",Cronograma!C2:C6,Cronograma!A2:A6,"")</f>
        <v>0</v>
      </c>
      <c r="E2" cm="1">
        <f t="array" ref="E2">_xlfn.XLOOKUP("Sara",Cronograma!D2:D6,Cronograma!A2:A6,"")</f>
        <v>0</v>
      </c>
      <c r="F2" cm="1">
        <f t="array" ref="F2">_xlfn.XLOOKUP("Sara",Cronograma!E2:E6,Cronograma!A2:A6,"")</f>
        <v>0</v>
      </c>
      <c r="G2" cm="1">
        <f t="array" ref="G2">_xlfn.XLOOKUP("Sara",Cronograma!F2:F6,Cronograma!A2:A6,"")</f>
        <v>0</v>
      </c>
      <c r="H2" cm="1">
        <f t="array" ref="H2">_xlfn.XLOOKUP("Sara",Cronograma!G2:G6,Cronograma!A2:A6,"")</f>
        <v>0</v>
      </c>
      <c r="I2" cm="1">
        <f t="array" ref="I2">_xlfn.XLOOKUP("Sara",Cronograma!H2:H6,Cronograma!A2:A6,"")</f>
        <v>0</v>
      </c>
      <c r="J2" cm="1">
        <f t="array" ref="J2">_xlfn.XLOOKUP("Sara",Cronograma!I2:I6,Cronograma!A2:A6,"")</f>
        <v>0</v>
      </c>
      <c r="K2" cm="1">
        <f t="array" ref="K2">_xlfn.XLOOKUP("Sara",Cronograma!J2:J6,Cronograma!A2:A6,"")</f>
        <v>0</v>
      </c>
      <c r="L2" cm="1">
        <f t="array" ref="L2">_xlfn.XLOOKUP("Sara",Cronograma!K2:K6,Cronograma!A2:A6,"")</f>
        <v>0</v>
      </c>
      <c r="M2" cm="1">
        <f t="array" ref="M2">_xlfn.XLOOKUP("Sara",Cronograma!L2:L6,Cronograma!A2:A6,"")</f>
        <v>0</v>
      </c>
      <c r="N2" cm="1">
        <f t="array" ref="N2">_xlfn.XLOOKUP("Sara",Cronograma!M2:M6,Cronograma!A2:A6,"")</f>
        <v>0</v>
      </c>
      <c r="O2" cm="1">
        <f t="array" ref="O2">_xlfn.XLOOKUP("Sara",Cronograma!N2:N6,Cronograma!A2:A6,"")</f>
        <v>0</v>
      </c>
      <c r="P2" cm="1">
        <f t="array" ref="P2">_xlfn.XLOOKUP("Sara",Cronograma!O2:O6,Cronograma!A2:A6,"")</f>
        <v>0</v>
      </c>
      <c r="Q2" cm="1">
        <f t="array" ref="Q2">_xlfn.XLOOKUP("Sara",Cronograma!P2:P6,Cronograma!A2:A6,"")</f>
        <v>0</v>
      </c>
      <c r="R2" cm="1">
        <f t="array" ref="R2">_xlfn.XLOOKUP("Sara",Cronograma!Q2:Q6,Cronograma!A2:A6,"")</f>
        <v>0</v>
      </c>
      <c r="S2" cm="1">
        <f t="array" ref="S2">_xlfn.XLOOKUP("Sara",Cronograma!R2:R6,Cronograma!A2:A6,"")</f>
        <v>0</v>
      </c>
      <c r="T2" cm="1">
        <f t="array" ref="T2">_xlfn.XLOOKUP("Sara",Cronograma!S2:S6,Cronograma!A2:A6,"")</f>
        <v>0</v>
      </c>
      <c r="U2" cm="1">
        <f t="array" ref="U2">_xlfn.XLOOKUP("Sara",Cronograma!T2:T6,Cronograma!A2:A6,"")</f>
        <v>0</v>
      </c>
      <c r="V2" cm="1">
        <f t="array" ref="V2">_xlfn.XLOOKUP("Sara",Cronograma!U2:U6,Cronograma!A2:A6,"")</f>
        <v>0</v>
      </c>
      <c r="W2" cm="1">
        <f t="array" ref="W2">_xlfn.XLOOKUP("Sara",Cronograma!V2:V6,Cronograma!A2:A6,"")</f>
        <v>0</v>
      </c>
      <c r="X2" cm="1">
        <f t="array" ref="X2">_xlfn.XLOOKUP("Sara",Cronograma!W2:W6,Cronograma!A2:A6,"")</f>
        <v>0</v>
      </c>
      <c r="Y2" cm="1">
        <f t="array" ref="Y2">_xlfn.XLOOKUP("Sara",Cronograma!X2:X6,Cronograma!A2:A6,"")</f>
        <v>0</v>
      </c>
      <c r="Z2" cm="1">
        <f t="array" ref="Z2">_xlfn.XLOOKUP("Sara",Cronograma!Y2:Y6,Cronograma!A2:A6,"")</f>
        <v>0</v>
      </c>
      <c r="AA2" cm="1">
        <f t="array" ref="AA2">_xlfn.XLOOKUP("Sara",Cronograma!Z2:Z6,Cronograma!A2:A6,"")</f>
        <v>0</v>
      </c>
      <c r="AB2" cm="1">
        <f t="array" ref="AB2">_xlfn.XLOOKUP("Sara",Cronograma!AA2:AA6,Cronograma!A2:A6,"")</f>
        <v>0</v>
      </c>
      <c r="AC2" cm="1">
        <f t="array" ref="AC2">_xlfn.XLOOKUP("Sara",Cronograma!AB2:AB6,Cronograma!A2:A6,"")</f>
        <v>0</v>
      </c>
      <c r="AD2" cm="1">
        <f t="array" ref="AD2">_xlfn.XLOOKUP("Sara",Cronograma!AC2:AC6,Cronograma!A2:A6,"")</f>
        <v>0</v>
      </c>
      <c r="AE2" cm="1">
        <f t="array" ref="AE2">_xlfn.XLOOKUP("Sara",Cronograma!AD2:AD6,Cronograma!A2:A6,"")</f>
        <v>0</v>
      </c>
      <c r="AF2" cm="1">
        <f t="array" ref="AF2">_xlfn.XLOOKUP("Sara",Cronograma!AE2:AE6,Cronograma!A2:A6,"")</f>
        <v>0</v>
      </c>
      <c r="AG2" cm="1">
        <f t="array" ref="AG2">_xlfn.XLOOKUP("Sara",Cronograma!AF2:AF6,Cronograma!A2:A6,"")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G2"/>
  <sheetViews>
    <sheetView workbookViewId="0"/>
  </sheetViews>
  <sheetFormatPr defaultRowHeight="15"/>
  <sheetData>
    <row r="1" spans="1:33">
      <c r="A1" s="1" t="s">
        <v>18</v>
      </c>
      <c r="B1" s="1" t="s">
        <v>19</v>
      </c>
      <c r="C1" s="1" t="s">
        <v>20</v>
      </c>
      <c r="D1" s="2">
        <v>45658</v>
      </c>
      <c r="E1" s="2">
        <v>45659</v>
      </c>
      <c r="F1" s="2">
        <v>45660</v>
      </c>
      <c r="G1" s="2">
        <v>45661</v>
      </c>
      <c r="H1" s="2">
        <v>45662</v>
      </c>
      <c r="I1" s="2">
        <v>45663</v>
      </c>
      <c r="J1" s="2">
        <v>45664</v>
      </c>
      <c r="K1" s="2">
        <v>45665</v>
      </c>
      <c r="L1" s="2">
        <v>45666</v>
      </c>
      <c r="M1" s="2">
        <v>45667</v>
      </c>
      <c r="N1" s="2">
        <v>45668</v>
      </c>
      <c r="O1" s="2">
        <v>45669</v>
      </c>
      <c r="P1" s="2">
        <v>45670</v>
      </c>
      <c r="Q1" s="2">
        <v>45671</v>
      </c>
      <c r="R1" s="2">
        <v>45672</v>
      </c>
      <c r="S1" s="2">
        <v>45673</v>
      </c>
      <c r="T1" s="2">
        <v>45674</v>
      </c>
      <c r="U1" s="2">
        <v>45675</v>
      </c>
      <c r="V1" s="2">
        <v>45676</v>
      </c>
      <c r="W1" s="2">
        <v>45677</v>
      </c>
      <c r="X1" s="2">
        <v>45678</v>
      </c>
      <c r="Y1" s="2">
        <v>45679</v>
      </c>
      <c r="Z1" s="2">
        <v>45680</v>
      </c>
      <c r="AA1" s="2">
        <v>45681</v>
      </c>
      <c r="AB1" s="2">
        <v>45682</v>
      </c>
      <c r="AC1" s="2">
        <v>45683</v>
      </c>
      <c r="AD1" s="2">
        <v>45684</v>
      </c>
      <c r="AE1" s="2">
        <v>45685</v>
      </c>
      <c r="AF1" s="2">
        <v>45686</v>
      </c>
      <c r="AG1" s="2">
        <v>45687</v>
      </c>
    </row>
    <row r="2" spans="1:33">
      <c r="A2">
        <f>SUMPRODUCT((Cronograma!B2:B6=FALSE) * (COUNTIF(D2:AG2, Cronograma!A2:A6)))</f>
        <v>0</v>
      </c>
      <c r="B2">
        <f>SUMPRODUCT((Cronograma!B2:B6=TRUE) * (COUNTIF(D2:AG2, Cronograma!A2:A6)))</f>
        <v>0</v>
      </c>
      <c r="C2">
        <f>SUMPRODUCT((E2:AG2="") * NOT(IFERROR(VLOOKUP(N(D2:AF2),Cronograma!A2:B6,2,FALSE), FALSE)))</f>
        <v>0</v>
      </c>
      <c r="D2" cm="1">
        <f t="array" ref="D2">_xlfn.XLOOKUP("Sofia",Cronograma!C2:C6,Cronograma!A2:A6,"")</f>
        <v>0</v>
      </c>
      <c r="E2" cm="1">
        <f t="array" ref="E2">_xlfn.XLOOKUP("Sofia",Cronograma!D2:D6,Cronograma!A2:A6,"")</f>
        <v>0</v>
      </c>
      <c r="F2" cm="1">
        <f t="array" ref="F2">_xlfn.XLOOKUP("Sofia",Cronograma!E2:E6,Cronograma!A2:A6,"")</f>
        <v>0</v>
      </c>
      <c r="G2" cm="1">
        <f t="array" ref="G2">_xlfn.XLOOKUP("Sofia",Cronograma!F2:F6,Cronograma!A2:A6,"")</f>
        <v>0</v>
      </c>
      <c r="H2" cm="1">
        <f t="array" ref="H2">_xlfn.XLOOKUP("Sofia",Cronograma!G2:G6,Cronograma!A2:A6,"")</f>
        <v>0</v>
      </c>
      <c r="I2" cm="1">
        <f t="array" ref="I2">_xlfn.XLOOKUP("Sofia",Cronograma!H2:H6,Cronograma!A2:A6,"")</f>
        <v>0</v>
      </c>
      <c r="J2" cm="1">
        <f t="array" ref="J2">_xlfn.XLOOKUP("Sofia",Cronograma!I2:I6,Cronograma!A2:A6,"")</f>
        <v>0</v>
      </c>
      <c r="K2" cm="1">
        <f t="array" ref="K2">_xlfn.XLOOKUP("Sofia",Cronograma!J2:J6,Cronograma!A2:A6,"")</f>
        <v>0</v>
      </c>
      <c r="L2" cm="1">
        <f t="array" ref="L2">_xlfn.XLOOKUP("Sofia",Cronograma!K2:K6,Cronograma!A2:A6,"")</f>
        <v>0</v>
      </c>
      <c r="M2" cm="1">
        <f t="array" ref="M2">_xlfn.XLOOKUP("Sofia",Cronograma!L2:L6,Cronograma!A2:A6,"")</f>
        <v>0</v>
      </c>
      <c r="N2" cm="1">
        <f t="array" ref="N2">_xlfn.XLOOKUP("Sofia",Cronograma!M2:M6,Cronograma!A2:A6,"")</f>
        <v>0</v>
      </c>
      <c r="O2" cm="1">
        <f t="array" ref="O2">_xlfn.XLOOKUP("Sofia",Cronograma!N2:N6,Cronograma!A2:A6,"")</f>
        <v>0</v>
      </c>
      <c r="P2" cm="1">
        <f t="array" ref="P2">_xlfn.XLOOKUP("Sofia",Cronograma!O2:O6,Cronograma!A2:A6,"")</f>
        <v>0</v>
      </c>
      <c r="Q2" cm="1">
        <f t="array" ref="Q2">_xlfn.XLOOKUP("Sofia",Cronograma!P2:P6,Cronograma!A2:A6,"")</f>
        <v>0</v>
      </c>
      <c r="R2" cm="1">
        <f t="array" ref="R2">_xlfn.XLOOKUP("Sofia",Cronograma!Q2:Q6,Cronograma!A2:A6,"")</f>
        <v>0</v>
      </c>
      <c r="S2" cm="1">
        <f t="array" ref="S2">_xlfn.XLOOKUP("Sofia",Cronograma!R2:R6,Cronograma!A2:A6,"")</f>
        <v>0</v>
      </c>
      <c r="T2" cm="1">
        <f t="array" ref="T2">_xlfn.XLOOKUP("Sofia",Cronograma!S2:S6,Cronograma!A2:A6,"")</f>
        <v>0</v>
      </c>
      <c r="U2" cm="1">
        <f t="array" ref="U2">_xlfn.XLOOKUP("Sofia",Cronograma!T2:T6,Cronograma!A2:A6,"")</f>
        <v>0</v>
      </c>
      <c r="V2" cm="1">
        <f t="array" ref="V2">_xlfn.XLOOKUP("Sofia",Cronograma!U2:U6,Cronograma!A2:A6,"")</f>
        <v>0</v>
      </c>
      <c r="W2" cm="1">
        <f t="array" ref="W2">_xlfn.XLOOKUP("Sofia",Cronograma!V2:V6,Cronograma!A2:A6,"")</f>
        <v>0</v>
      </c>
      <c r="X2" cm="1">
        <f t="array" ref="X2">_xlfn.XLOOKUP("Sofia",Cronograma!W2:W6,Cronograma!A2:A6,"")</f>
        <v>0</v>
      </c>
      <c r="Y2" cm="1">
        <f t="array" ref="Y2">_xlfn.XLOOKUP("Sofia",Cronograma!X2:X6,Cronograma!A2:A6,"")</f>
        <v>0</v>
      </c>
      <c r="Z2" cm="1">
        <f t="array" ref="Z2">_xlfn.XLOOKUP("Sofia",Cronograma!Y2:Y6,Cronograma!A2:A6,"")</f>
        <v>0</v>
      </c>
      <c r="AA2" cm="1">
        <f t="array" ref="AA2">_xlfn.XLOOKUP("Sofia",Cronograma!Z2:Z6,Cronograma!A2:A6,"")</f>
        <v>0</v>
      </c>
      <c r="AB2" cm="1">
        <f t="array" ref="AB2">_xlfn.XLOOKUP("Sofia",Cronograma!AA2:AA6,Cronograma!A2:A6,"")</f>
        <v>0</v>
      </c>
      <c r="AC2" cm="1">
        <f t="array" ref="AC2">_xlfn.XLOOKUP("Sofia",Cronograma!AB2:AB6,Cronograma!A2:A6,"")</f>
        <v>0</v>
      </c>
      <c r="AD2" cm="1">
        <f t="array" ref="AD2">_xlfn.XLOOKUP("Sofia",Cronograma!AC2:AC6,Cronograma!A2:A6,"")</f>
        <v>0</v>
      </c>
      <c r="AE2" cm="1">
        <f t="array" ref="AE2">_xlfn.XLOOKUP("Sofia",Cronograma!AD2:AD6,Cronograma!A2:A6,"")</f>
        <v>0</v>
      </c>
      <c r="AF2" cm="1">
        <f t="array" ref="AF2">_xlfn.XLOOKUP("Sofia",Cronograma!AE2:AE6,Cronograma!A2:A6,"")</f>
        <v>0</v>
      </c>
      <c r="AG2" cm="1">
        <f t="array" ref="AG2">_xlfn.XLOOKUP("Sofia",Cronograma!AF2:AF6,Cronograma!A2:A6,"")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G2"/>
  <sheetViews>
    <sheetView workbookViewId="0"/>
  </sheetViews>
  <sheetFormatPr defaultRowHeight="15"/>
  <sheetData>
    <row r="1" spans="1:33">
      <c r="A1" s="1" t="s">
        <v>18</v>
      </c>
      <c r="B1" s="1" t="s">
        <v>19</v>
      </c>
      <c r="C1" s="1" t="s">
        <v>20</v>
      </c>
      <c r="D1" s="2">
        <v>45658</v>
      </c>
      <c r="E1" s="2">
        <v>45659</v>
      </c>
      <c r="F1" s="2">
        <v>45660</v>
      </c>
      <c r="G1" s="2">
        <v>45661</v>
      </c>
      <c r="H1" s="2">
        <v>45662</v>
      </c>
      <c r="I1" s="2">
        <v>45663</v>
      </c>
      <c r="J1" s="2">
        <v>45664</v>
      </c>
      <c r="K1" s="2">
        <v>45665</v>
      </c>
      <c r="L1" s="2">
        <v>45666</v>
      </c>
      <c r="M1" s="2">
        <v>45667</v>
      </c>
      <c r="N1" s="2">
        <v>45668</v>
      </c>
      <c r="O1" s="2">
        <v>45669</v>
      </c>
      <c r="P1" s="2">
        <v>45670</v>
      </c>
      <c r="Q1" s="2">
        <v>45671</v>
      </c>
      <c r="R1" s="2">
        <v>45672</v>
      </c>
      <c r="S1" s="2">
        <v>45673</v>
      </c>
      <c r="T1" s="2">
        <v>45674</v>
      </c>
      <c r="U1" s="2">
        <v>45675</v>
      </c>
      <c r="V1" s="2">
        <v>45676</v>
      </c>
      <c r="W1" s="2">
        <v>45677</v>
      </c>
      <c r="X1" s="2">
        <v>45678</v>
      </c>
      <c r="Y1" s="2">
        <v>45679</v>
      </c>
      <c r="Z1" s="2">
        <v>45680</v>
      </c>
      <c r="AA1" s="2">
        <v>45681</v>
      </c>
      <c r="AB1" s="2">
        <v>45682</v>
      </c>
      <c r="AC1" s="2">
        <v>45683</v>
      </c>
      <c r="AD1" s="2">
        <v>45684</v>
      </c>
      <c r="AE1" s="2">
        <v>45685</v>
      </c>
      <c r="AF1" s="2">
        <v>45686</v>
      </c>
      <c r="AG1" s="2">
        <v>45687</v>
      </c>
    </row>
    <row r="2" spans="1:33">
      <c r="A2">
        <f>SUMPRODUCT((Cronograma!B2:B6=FALSE) * (COUNTIF(D2:AG2, Cronograma!A2:A6)))</f>
        <v>0</v>
      </c>
      <c r="B2">
        <f>SUMPRODUCT((Cronograma!B2:B6=TRUE) * (COUNTIF(D2:AG2, Cronograma!A2:A6)))</f>
        <v>0</v>
      </c>
      <c r="C2">
        <f>SUMPRODUCT((E2:AG2="") * NOT(IFERROR(VLOOKUP(N(D2:AF2),Cronograma!A2:B6,2,FALSE), FALSE)))</f>
        <v>0</v>
      </c>
      <c r="D2" cm="1">
        <f t="array" ref="D2">_xlfn.XLOOKUP("Sergio",Cronograma!C2:C6,Cronograma!A2:A6,"")</f>
        <v>0</v>
      </c>
      <c r="E2" cm="1">
        <f t="array" ref="E2">_xlfn.XLOOKUP("Sergio",Cronograma!D2:D6,Cronograma!A2:A6,"")</f>
        <v>0</v>
      </c>
      <c r="F2" cm="1">
        <f t="array" ref="F2">_xlfn.XLOOKUP("Sergio",Cronograma!E2:E6,Cronograma!A2:A6,"")</f>
        <v>0</v>
      </c>
      <c r="G2" cm="1">
        <f t="array" ref="G2">_xlfn.XLOOKUP("Sergio",Cronograma!F2:F6,Cronograma!A2:A6,"")</f>
        <v>0</v>
      </c>
      <c r="H2" cm="1">
        <f t="array" ref="H2">_xlfn.XLOOKUP("Sergio",Cronograma!G2:G6,Cronograma!A2:A6,"")</f>
        <v>0</v>
      </c>
      <c r="I2" cm="1">
        <f t="array" ref="I2">_xlfn.XLOOKUP("Sergio",Cronograma!H2:H6,Cronograma!A2:A6,"")</f>
        <v>0</v>
      </c>
      <c r="J2" cm="1">
        <f t="array" ref="J2">_xlfn.XLOOKUP("Sergio",Cronograma!I2:I6,Cronograma!A2:A6,"")</f>
        <v>0</v>
      </c>
      <c r="K2" cm="1">
        <f t="array" ref="K2">_xlfn.XLOOKUP("Sergio",Cronograma!J2:J6,Cronograma!A2:A6,"")</f>
        <v>0</v>
      </c>
      <c r="L2" cm="1">
        <f t="array" ref="L2">_xlfn.XLOOKUP("Sergio",Cronograma!K2:K6,Cronograma!A2:A6,"")</f>
        <v>0</v>
      </c>
      <c r="M2" cm="1">
        <f t="array" ref="M2">_xlfn.XLOOKUP("Sergio",Cronograma!L2:L6,Cronograma!A2:A6,"")</f>
        <v>0</v>
      </c>
      <c r="N2" cm="1">
        <f t="array" ref="N2">_xlfn.XLOOKUP("Sergio",Cronograma!M2:M6,Cronograma!A2:A6,"")</f>
        <v>0</v>
      </c>
      <c r="O2" cm="1">
        <f t="array" ref="O2">_xlfn.XLOOKUP("Sergio",Cronograma!N2:N6,Cronograma!A2:A6,"")</f>
        <v>0</v>
      </c>
      <c r="P2" cm="1">
        <f t="array" ref="P2">_xlfn.XLOOKUP("Sergio",Cronograma!O2:O6,Cronograma!A2:A6,"")</f>
        <v>0</v>
      </c>
      <c r="Q2" cm="1">
        <f t="array" ref="Q2">_xlfn.XLOOKUP("Sergio",Cronograma!P2:P6,Cronograma!A2:A6,"")</f>
        <v>0</v>
      </c>
      <c r="R2" cm="1">
        <f t="array" ref="R2">_xlfn.XLOOKUP("Sergio",Cronograma!Q2:Q6,Cronograma!A2:A6,"")</f>
        <v>0</v>
      </c>
      <c r="S2" cm="1">
        <f t="array" ref="S2">_xlfn.XLOOKUP("Sergio",Cronograma!R2:R6,Cronograma!A2:A6,"")</f>
        <v>0</v>
      </c>
      <c r="T2" cm="1">
        <f t="array" ref="T2">_xlfn.XLOOKUP("Sergio",Cronograma!S2:S6,Cronograma!A2:A6,"")</f>
        <v>0</v>
      </c>
      <c r="U2" cm="1">
        <f t="array" ref="U2">_xlfn.XLOOKUP("Sergio",Cronograma!T2:T6,Cronograma!A2:A6,"")</f>
        <v>0</v>
      </c>
      <c r="V2" cm="1">
        <f t="array" ref="V2">_xlfn.XLOOKUP("Sergio",Cronograma!U2:U6,Cronograma!A2:A6,"")</f>
        <v>0</v>
      </c>
      <c r="W2" cm="1">
        <f t="array" ref="W2">_xlfn.XLOOKUP("Sergio",Cronograma!V2:V6,Cronograma!A2:A6,"")</f>
        <v>0</v>
      </c>
      <c r="X2" cm="1">
        <f t="array" ref="X2">_xlfn.XLOOKUP("Sergio",Cronograma!W2:W6,Cronograma!A2:A6,"")</f>
        <v>0</v>
      </c>
      <c r="Y2" cm="1">
        <f t="array" ref="Y2">_xlfn.XLOOKUP("Sergio",Cronograma!X2:X6,Cronograma!A2:A6,"")</f>
        <v>0</v>
      </c>
      <c r="Z2" cm="1">
        <f t="array" ref="Z2">_xlfn.XLOOKUP("Sergio",Cronograma!Y2:Y6,Cronograma!A2:A6,"")</f>
        <v>0</v>
      </c>
      <c r="AA2" cm="1">
        <f t="array" ref="AA2">_xlfn.XLOOKUP("Sergio",Cronograma!Z2:Z6,Cronograma!A2:A6,"")</f>
        <v>0</v>
      </c>
      <c r="AB2" cm="1">
        <f t="array" ref="AB2">_xlfn.XLOOKUP("Sergio",Cronograma!AA2:AA6,Cronograma!A2:A6,"")</f>
        <v>0</v>
      </c>
      <c r="AC2" cm="1">
        <f t="array" ref="AC2">_xlfn.XLOOKUP("Sergio",Cronograma!AB2:AB6,Cronograma!A2:A6,"")</f>
        <v>0</v>
      </c>
      <c r="AD2" cm="1">
        <f t="array" ref="AD2">_xlfn.XLOOKUP("Sergio",Cronograma!AC2:AC6,Cronograma!A2:A6,"")</f>
        <v>0</v>
      </c>
      <c r="AE2" cm="1">
        <f t="array" ref="AE2">_xlfn.XLOOKUP("Sergio",Cronograma!AD2:AD6,Cronograma!A2:A6,"")</f>
        <v>0</v>
      </c>
      <c r="AF2" cm="1">
        <f t="array" ref="AF2">_xlfn.XLOOKUP("Sergio",Cronograma!AE2:AE6,Cronograma!A2:A6,"")</f>
        <v>0</v>
      </c>
      <c r="AG2" cm="1">
        <f t="array" ref="AG2">_xlfn.XLOOKUP("Sergio",Cronograma!AF2:AF6,Cronograma!A2:A6,"")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Cronograma</vt:lpstr>
      <vt:lpstr>Ana</vt:lpstr>
      <vt:lpstr>Juan</vt:lpstr>
      <vt:lpstr>Jose</vt:lpstr>
      <vt:lpstr>Pepe</vt:lpstr>
      <vt:lpstr>Maria</vt:lpstr>
      <vt:lpstr>Camilo</vt:lpstr>
      <vt:lpstr>Edwin</vt:lpstr>
      <vt:lpstr>Karol</vt:lpstr>
      <vt:lpstr>Sara</vt:lpstr>
      <vt:lpstr>Sofia</vt:lpstr>
      <vt:lpstr>Sergio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2025-12-10T20:34:52Z</dcterms:created>
  <dcterms:modified xsi:type="dcterms:W3CDTF">2025-12-10T20:34:52Z</dcterms:modified>
</cp:coreProperties>
</file>