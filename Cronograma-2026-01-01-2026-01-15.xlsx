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nograma" sheetId="1" r:id="rId1"/>
    <sheet name="Empleados" sheetId="2" r:id="rId2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<sst xmlns="http://schemas.openxmlformats.org/spreadsheetml/2006/main" count="527" uniqueCount="71">
  <si>
    <t>Puestos</t>
  </si>
  <si>
    <t>Nocturno</t>
  </si>
  <si>
    <t>D - L1</t>
  </si>
  <si>
    <t>D - L3</t>
  </si>
  <si>
    <t>D - L5</t>
  </si>
  <si>
    <t>D - L7</t>
  </si>
  <si>
    <t>D - L8</t>
  </si>
  <si>
    <t>D - L9</t>
  </si>
  <si>
    <t>D - L11</t>
  </si>
  <si>
    <t>D - Supervisor</t>
  </si>
  <si>
    <t>D - Cocina</t>
  </si>
  <si>
    <t>D - Cocina 2</t>
  </si>
  <si>
    <t>D - Cocina 3</t>
  </si>
  <si>
    <t>D - Barra</t>
  </si>
  <si>
    <t>D - Salón</t>
  </si>
  <si>
    <t>D - Aseo</t>
  </si>
  <si>
    <t>D - Caja</t>
  </si>
  <si>
    <t>D - Dulcería</t>
  </si>
  <si>
    <t>D - Bodega</t>
  </si>
  <si>
    <t>D - Administrador</t>
  </si>
  <si>
    <t>D - Mensajería</t>
  </si>
  <si>
    <t>N - L1</t>
  </si>
  <si>
    <t>N - L3</t>
  </si>
  <si>
    <t>N - L5</t>
  </si>
  <si>
    <t>N - L7</t>
  </si>
  <si>
    <t>N - L8</t>
  </si>
  <si>
    <t>N - L9</t>
  </si>
  <si>
    <t>N - L11</t>
  </si>
  <si>
    <t>N - Cocina</t>
  </si>
  <si>
    <t>N - Caja</t>
  </si>
  <si>
    <t>N - Barra y salón</t>
  </si>
  <si>
    <t>Diana Carolina Molina</t>
  </si>
  <si>
    <t>Yenifer</t>
  </si>
  <si>
    <t>Efigenia</t>
  </si>
  <si>
    <t>Alba Becerra</t>
  </si>
  <si>
    <t>Angie Castillo</t>
  </si>
  <si>
    <t>Dora</t>
  </si>
  <si>
    <t>Xiomara</t>
  </si>
  <si>
    <t>Gisela</t>
  </si>
  <si>
    <t>Adriana</t>
  </si>
  <si>
    <t>Claudia Patricia</t>
  </si>
  <si>
    <t>Luz Estela</t>
  </si>
  <si>
    <t>Carolina</t>
  </si>
  <si>
    <t>Maria Naydu</t>
  </si>
  <si>
    <t>Tatiana</t>
  </si>
  <si>
    <t>Angie Marcela</t>
  </si>
  <si>
    <t>Luz Mery</t>
  </si>
  <si>
    <t>Jeferson</t>
  </si>
  <si>
    <t>Claudia Milena</t>
  </si>
  <si>
    <t>Victor Julio</t>
  </si>
  <si>
    <t>Elisa Parra</t>
  </si>
  <si>
    <t>Gilvert</t>
  </si>
  <si>
    <t>Betsy Mauribel</t>
  </si>
  <si>
    <t>Anyelis</t>
  </si>
  <si>
    <t>German Avila</t>
  </si>
  <si>
    <t>Darcy Lorena</t>
  </si>
  <si>
    <t>Erika Mayerlli</t>
  </si>
  <si>
    <t>Ofelia</t>
  </si>
  <si>
    <t>Rosalba</t>
  </si>
  <si>
    <t>Maria Alejandra</t>
  </si>
  <si>
    <t>Luisa Viviana</t>
  </si>
  <si>
    <t>Rosa Angelica</t>
  </si>
  <si>
    <t>Martha</t>
  </si>
  <si>
    <t>Adanies</t>
  </si>
  <si>
    <t>Maria Paula</t>
  </si>
  <si>
    <t>Maribel</t>
  </si>
  <si>
    <t>Stefany</t>
  </si>
  <si>
    <t>Nombre</t>
  </si>
  <si>
    <t>Día</t>
  </si>
  <si>
    <t>Noche</t>
  </si>
  <si>
    <t>Descanso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</si>
</sst>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33CC"/>
        </patternFill>
      </fill>
    </dxf>
    <dxf>
      <fill>
        <patternFill>
          <bgColor rgb="FF0DBF3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"/>
  <sheetViews>
    <sheetView tabSelected="1" workbookViewId="0"/>
  </sheetViews>
  <sheetFormatPr defaultRowHeight="15"/>
  <cols>
    <col min="1" max="1" width="16.5703125" bestFit="1" customWidth="1"/>
    <col min="2" max="2" width="9.28515625" bestFit="1" customWidth="1"/>
    <col min="3" max="4" width="20.28515625" bestFit="1" customWidth="1"/>
    <col min="5" max="6" width="14.5703125" bestFit="1" customWidth="1"/>
    <col min="7" max="11" width="20.28515625" bestFit="1" customWidth="1"/>
    <col min="12" max="12" width="14.5703125" bestFit="1" customWidth="1"/>
    <col min="13" max="13" width="15" bestFit="1" customWidth="1"/>
    <col min="14" max="17" width="20.28515625" bestFit="1" customWidth="1"/>
  </cols>
  <sheetData>
    <row r="1" spans="1:17">
      <c r="A1" s="1" t="s">
        <v>0</v>
      </c>
      <c r="B1" s="1" t="s">
        <v>1</v>
      </c>
      <c r="C1" s="2">
        <v>46023</v>
      </c>
      <c r="D1" s="2">
        <v>46024</v>
      </c>
      <c r="E1" s="2">
        <v>46025</v>
      </c>
      <c r="F1" s="2">
        <v>46026</v>
      </c>
      <c r="G1" s="2">
        <v>46027</v>
      </c>
      <c r="H1" s="2">
        <v>46028</v>
      </c>
      <c r="I1" s="2">
        <v>46029</v>
      </c>
      <c r="J1" s="2">
        <v>46030</v>
      </c>
      <c r="K1" s="2">
        <v>46031</v>
      </c>
      <c r="L1" s="2">
        <v>46032</v>
      </c>
      <c r="M1" s="2">
        <v>46033</v>
      </c>
      <c r="N1" s="2">
        <v>46034</v>
      </c>
      <c r="O1" s="2">
        <v>46035</v>
      </c>
      <c r="P1" s="2">
        <v>46036</v>
      </c>
      <c r="Q1" s="2">
        <v>46037</v>
      </c>
    </row>
    <row r="2" spans="1:17">
      <c r="A2" t="s">
        <v>2</v>
      </c>
      <c r="B2" t="b">
        <v>0</v>
      </c>
      <c r="C2" t="s">
        <v>31</v>
      </c>
      <c r="D2" t="s">
        <v>31</v>
      </c>
      <c r="E2" t="s">
        <v>37</v>
      </c>
      <c r="F2" t="s">
        <v>34</v>
      </c>
      <c r="G2" t="s">
        <v>31</v>
      </c>
      <c r="H2" t="s">
        <v>31</v>
      </c>
      <c r="I2" t="s">
        <v>31</v>
      </c>
      <c r="J2" t="s">
        <v>31</v>
      </c>
      <c r="K2" t="s">
        <v>31</v>
      </c>
      <c r="L2" t="s">
        <v>52</v>
      </c>
      <c r="M2" t="s">
        <v>34</v>
      </c>
      <c r="N2" t="s">
        <v>31</v>
      </c>
      <c r="O2" t="s">
        <v>31</v>
      </c>
      <c r="P2" t="s">
        <v>31</v>
      </c>
      <c r="Q2" t="s">
        <v>31</v>
      </c>
    </row>
    <row r="3" spans="1:17">
      <c r="A3" t="s">
        <v>3</v>
      </c>
      <c r="B3" t="b">
        <v>0</v>
      </c>
      <c r="C3" t="s">
        <v>32</v>
      </c>
      <c r="D3" t="s">
        <v>34</v>
      </c>
      <c r="E3" t="s">
        <v>61</v>
      </c>
      <c r="F3" t="s">
        <v>61</v>
      </c>
      <c r="G3" t="s">
        <v>60</v>
      </c>
      <c r="H3" t="s">
        <v>34</v>
      </c>
      <c r="I3" t="s">
        <v>34</v>
      </c>
      <c r="J3" t="s">
        <v>53</v>
      </c>
      <c r="K3" t="s">
        <v>53</v>
      </c>
      <c r="L3" t="s">
        <v>51</v>
      </c>
      <c r="M3" t="s">
        <v>51</v>
      </c>
      <c r="N3" t="s">
        <v>50</v>
      </c>
      <c r="O3" t="s">
        <v>50</v>
      </c>
      <c r="P3" t="s">
        <v>50</v>
      </c>
      <c r="Q3" t="s">
        <v>53</v>
      </c>
    </row>
    <row r="4" spans="1:17">
      <c r="A4" t="s">
        <v>4</v>
      </c>
      <c r="B4" t="b">
        <v>0</v>
      </c>
      <c r="C4" t="s">
        <v>33</v>
      </c>
      <c r="D4" t="s">
        <v>33</v>
      </c>
      <c r="E4" t="s">
        <v>33</v>
      </c>
      <c r="F4" t="s">
        <v>33</v>
      </c>
      <c r="G4" t="s">
        <v>37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52</v>
      </c>
      <c r="N4" t="s">
        <v>52</v>
      </c>
      <c r="O4" t="s">
        <v>52</v>
      </c>
      <c r="P4" t="s">
        <v>52</v>
      </c>
      <c r="Q4" t="s">
        <v>33</v>
      </c>
    </row>
    <row r="5" spans="1:17">
      <c r="A5" t="s">
        <v>5</v>
      </c>
      <c r="B5" t="b">
        <v>0</v>
      </c>
      <c r="C5" t="s">
        <v>34</v>
      </c>
      <c r="D5" t="s">
        <v>35</v>
      </c>
      <c r="E5" t="s">
        <v>35</v>
      </c>
      <c r="F5" t="s">
        <v>35</v>
      </c>
      <c r="G5" t="s">
        <v>53</v>
      </c>
      <c r="H5" t="s">
        <v>55</v>
      </c>
      <c r="I5" t="s">
        <v>55</v>
      </c>
      <c r="J5" t="s">
        <v>55</v>
      </c>
      <c r="K5" t="s">
        <v>36</v>
      </c>
      <c r="L5" t="s">
        <v>36</v>
      </c>
      <c r="M5" t="s">
        <v>55</v>
      </c>
      <c r="N5" t="s">
        <v>55</v>
      </c>
      <c r="O5" t="s">
        <v>55</v>
      </c>
      <c r="P5" t="s">
        <v>55</v>
      </c>
      <c r="Q5" t="s">
        <v>55</v>
      </c>
    </row>
    <row r="6" spans="1:17">
      <c r="A6" t="s">
        <v>6</v>
      </c>
      <c r="B6" t="b">
        <v>0</v>
      </c>
      <c r="C6" t="s">
        <v>35</v>
      </c>
      <c r="D6" t="s">
        <v>36</v>
      </c>
      <c r="E6" t="s">
        <v>34</v>
      </c>
      <c r="F6" t="s">
        <v>36</v>
      </c>
      <c r="G6" t="s">
        <v>54</v>
      </c>
      <c r="H6" t="s">
        <v>54</v>
      </c>
      <c r="I6" t="s">
        <v>54</v>
      </c>
      <c r="J6" t="s">
        <v>54</v>
      </c>
      <c r="K6" t="s">
        <v>54</v>
      </c>
      <c r="M6" t="s">
        <v>54</v>
      </c>
      <c r="N6" t="s">
        <v>54</v>
      </c>
      <c r="O6" t="s">
        <v>54</v>
      </c>
      <c r="P6" t="s">
        <v>54</v>
      </c>
      <c r="Q6" t="s">
        <v>54</v>
      </c>
    </row>
    <row r="7" spans="1:17">
      <c r="A7" t="s">
        <v>7</v>
      </c>
      <c r="B7" t="b">
        <v>0</v>
      </c>
      <c r="C7" t="s">
        <v>36</v>
      </c>
      <c r="D7" t="s">
        <v>60</v>
      </c>
      <c r="E7" t="s">
        <v>36</v>
      </c>
      <c r="F7" t="s">
        <v>37</v>
      </c>
      <c r="G7" t="s">
        <v>55</v>
      </c>
      <c r="H7" t="s">
        <v>53</v>
      </c>
      <c r="I7" t="s">
        <v>36</v>
      </c>
      <c r="J7" t="s">
        <v>36</v>
      </c>
      <c r="K7" t="s">
        <v>55</v>
      </c>
      <c r="L7" t="s">
        <v>34</v>
      </c>
      <c r="M7" t="s">
        <v>50</v>
      </c>
      <c r="N7" t="s">
        <v>53</v>
      </c>
      <c r="O7" t="s">
        <v>53</v>
      </c>
      <c r="P7" t="s">
        <v>53</v>
      </c>
      <c r="Q7" t="s">
        <v>36</v>
      </c>
    </row>
    <row r="8" spans="1:17">
      <c r="A8" t="s">
        <v>8</v>
      </c>
      <c r="B8" t="b">
        <v>0</v>
      </c>
      <c r="C8" t="s">
        <v>37</v>
      </c>
      <c r="D8" t="s">
        <v>61</v>
      </c>
      <c r="E8" t="s">
        <v>60</v>
      </c>
      <c r="F8" t="s">
        <v>60</v>
      </c>
      <c r="G8" t="s">
        <v>61</v>
      </c>
      <c r="H8" t="s">
        <v>37</v>
      </c>
      <c r="I8" t="s">
        <v>53</v>
      </c>
      <c r="J8" t="s">
        <v>34</v>
      </c>
      <c r="K8" t="s">
        <v>63</v>
      </c>
      <c r="L8" t="s">
        <v>50</v>
      </c>
      <c r="M8" t="s">
        <v>53</v>
      </c>
      <c r="N8" t="s">
        <v>51</v>
      </c>
      <c r="O8" t="s">
        <v>51</v>
      </c>
      <c r="P8" t="s">
        <v>51</v>
      </c>
      <c r="Q8" t="s">
        <v>34</v>
      </c>
    </row>
    <row r="9" spans="1:17">
      <c r="A9" t="s">
        <v>9</v>
      </c>
      <c r="B9" t="b">
        <v>0</v>
      </c>
      <c r="C9" t="s">
        <v>38</v>
      </c>
      <c r="D9" t="s">
        <v>62</v>
      </c>
      <c r="E9" t="s">
        <v>62</v>
      </c>
      <c r="F9" t="s">
        <v>38</v>
      </c>
      <c r="G9" t="s">
        <v>38</v>
      </c>
      <c r="H9" t="s">
        <v>62</v>
      </c>
      <c r="I9" t="s">
        <v>62</v>
      </c>
      <c r="J9" t="s">
        <v>38</v>
      </c>
      <c r="K9" t="s">
        <v>38</v>
      </c>
      <c r="L9" t="s">
        <v>62</v>
      </c>
      <c r="M9" t="s">
        <v>62</v>
      </c>
      <c r="N9" t="s">
        <v>38</v>
      </c>
      <c r="O9" t="s">
        <v>38</v>
      </c>
      <c r="P9" t="s">
        <v>62</v>
      </c>
      <c r="Q9" t="s">
        <v>62</v>
      </c>
    </row>
    <row r="10" spans="1:17">
      <c r="A10" t="s">
        <v>10</v>
      </c>
      <c r="B10" t="b">
        <v>0</v>
      </c>
      <c r="C10" t="s">
        <v>39</v>
      </c>
      <c r="D10" t="s">
        <v>39</v>
      </c>
      <c r="E10" t="s">
        <v>39</v>
      </c>
      <c r="F10" t="s">
        <v>39</v>
      </c>
      <c r="G10" t="s">
        <v>39</v>
      </c>
      <c r="H10" t="s">
        <v>46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46</v>
      </c>
      <c r="O10" t="s">
        <v>39</v>
      </c>
      <c r="P10" t="s">
        <v>39</v>
      </c>
      <c r="Q10" t="s">
        <v>39</v>
      </c>
    </row>
    <row r="11" spans="1:17">
      <c r="A11" t="s">
        <v>11</v>
      </c>
      <c r="B11" t="b">
        <v>0</v>
      </c>
      <c r="C11" t="s">
        <v>40</v>
      </c>
      <c r="D11" t="s">
        <v>40</v>
      </c>
      <c r="E11" t="s">
        <v>40</v>
      </c>
      <c r="F11" t="s">
        <v>40</v>
      </c>
      <c r="G11" t="s">
        <v>40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O11" t="s">
        <v>40</v>
      </c>
      <c r="P11" t="s">
        <v>40</v>
      </c>
      <c r="Q11" t="s">
        <v>40</v>
      </c>
    </row>
    <row r="12" spans="1:17">
      <c r="A12" t="s">
        <v>12</v>
      </c>
      <c r="B12" t="b">
        <v>0</v>
      </c>
      <c r="C12" t="s">
        <v>41</v>
      </c>
      <c r="D12" t="s">
        <v>41</v>
      </c>
      <c r="E12" t="s">
        <v>41</v>
      </c>
      <c r="F12" t="s">
        <v>41</v>
      </c>
      <c r="G12" t="s">
        <v>41</v>
      </c>
      <c r="I12" t="s">
        <v>47</v>
      </c>
      <c r="J12" t="s">
        <v>57</v>
      </c>
      <c r="K12" t="s">
        <v>57</v>
      </c>
      <c r="L12" t="s">
        <v>57</v>
      </c>
      <c r="M12" t="s">
        <v>57</v>
      </c>
      <c r="N12" t="s">
        <v>57</v>
      </c>
      <c r="O12" t="s">
        <v>47</v>
      </c>
      <c r="P12" t="s">
        <v>57</v>
      </c>
      <c r="Q12" t="s">
        <v>57</v>
      </c>
    </row>
    <row r="13" spans="1:17">
      <c r="A13" t="s">
        <v>13</v>
      </c>
      <c r="B13" t="b">
        <v>0</v>
      </c>
      <c r="C13" t="s">
        <v>42</v>
      </c>
      <c r="D13" t="s">
        <v>42</v>
      </c>
      <c r="E13" t="s">
        <v>42</v>
      </c>
      <c r="F13" t="s">
        <v>42</v>
      </c>
      <c r="G13" t="s">
        <v>42</v>
      </c>
      <c r="H13" t="s">
        <v>43</v>
      </c>
      <c r="I13" t="s">
        <v>43</v>
      </c>
      <c r="J13" t="s">
        <v>43</v>
      </c>
      <c r="K13" t="s">
        <v>43</v>
      </c>
      <c r="L13" t="s">
        <v>43</v>
      </c>
      <c r="M13" t="s">
        <v>63</v>
      </c>
      <c r="N13" t="s">
        <v>63</v>
      </c>
      <c r="O13" t="s">
        <v>63</v>
      </c>
      <c r="P13" t="s">
        <v>59</v>
      </c>
      <c r="Q13" t="s">
        <v>59</v>
      </c>
    </row>
    <row r="14" spans="1:17">
      <c r="A14" t="s">
        <v>14</v>
      </c>
      <c r="B14" t="b">
        <v>0</v>
      </c>
      <c r="C14" t="s">
        <v>43</v>
      </c>
      <c r="D14" t="s">
        <v>43</v>
      </c>
      <c r="E14" t="s">
        <v>43</v>
      </c>
      <c r="F14" t="s">
        <v>43</v>
      </c>
      <c r="G14" t="s">
        <v>59</v>
      </c>
      <c r="H14" t="s">
        <v>59</v>
      </c>
      <c r="I14" t="s">
        <v>59</v>
      </c>
      <c r="J14" t="s">
        <v>59</v>
      </c>
      <c r="K14" t="s">
        <v>59</v>
      </c>
      <c r="L14" t="s">
        <v>46</v>
      </c>
      <c r="M14" t="s">
        <v>59</v>
      </c>
      <c r="N14" t="s">
        <v>59</v>
      </c>
      <c r="O14" t="s">
        <v>59</v>
      </c>
      <c r="P14" t="s">
        <v>42</v>
      </c>
      <c r="Q14" t="s">
        <v>42</v>
      </c>
    </row>
    <row r="15" spans="1:17">
      <c r="A15" t="s">
        <v>15</v>
      </c>
      <c r="B15" t="b">
        <v>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36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36</v>
      </c>
      <c r="O15" t="s">
        <v>36</v>
      </c>
      <c r="P15" t="s">
        <v>44</v>
      </c>
      <c r="Q15" t="s">
        <v>44</v>
      </c>
    </row>
    <row r="16" spans="1:17">
      <c r="A16" t="s">
        <v>16</v>
      </c>
      <c r="B16" t="b">
        <v>0</v>
      </c>
      <c r="C16" t="s">
        <v>45</v>
      </c>
      <c r="D16" t="s">
        <v>45</v>
      </c>
      <c r="E16" t="s">
        <v>45</v>
      </c>
      <c r="F16" t="s">
        <v>45</v>
      </c>
      <c r="G16" t="s">
        <v>58</v>
      </c>
      <c r="H16" t="s">
        <v>58</v>
      </c>
      <c r="I16" t="s">
        <v>58</v>
      </c>
      <c r="J16" t="s">
        <v>58</v>
      </c>
      <c r="K16" t="s">
        <v>58</v>
      </c>
      <c r="L16" t="s">
        <v>63</v>
      </c>
      <c r="M16" t="s">
        <v>58</v>
      </c>
      <c r="N16" t="s">
        <v>58</v>
      </c>
      <c r="O16" t="s">
        <v>58</v>
      </c>
      <c r="P16" t="s">
        <v>58</v>
      </c>
      <c r="Q16" t="s">
        <v>58</v>
      </c>
    </row>
    <row r="17" spans="1:17">
      <c r="A17" t="s">
        <v>17</v>
      </c>
      <c r="B17" t="b">
        <v>0</v>
      </c>
      <c r="C17" t="s">
        <v>46</v>
      </c>
      <c r="D17" t="s">
        <v>46</v>
      </c>
      <c r="E17" t="s">
        <v>46</v>
      </c>
      <c r="F17" t="s">
        <v>46</v>
      </c>
      <c r="G17" t="s">
        <v>35</v>
      </c>
      <c r="I17" t="s">
        <v>35</v>
      </c>
      <c r="J17" t="s">
        <v>35</v>
      </c>
      <c r="K17" t="s">
        <v>35</v>
      </c>
      <c r="L17" t="s">
        <v>35</v>
      </c>
      <c r="M17" t="s">
        <v>46</v>
      </c>
      <c r="N17" t="s">
        <v>35</v>
      </c>
      <c r="O17" t="s">
        <v>35</v>
      </c>
      <c r="P17" t="s">
        <v>35</v>
      </c>
      <c r="Q17" t="s">
        <v>35</v>
      </c>
    </row>
    <row r="18" spans="1:17">
      <c r="A18" t="s">
        <v>18</v>
      </c>
      <c r="B18" t="b">
        <v>0</v>
      </c>
      <c r="C18" t="s">
        <v>47</v>
      </c>
      <c r="D18" t="s">
        <v>47</v>
      </c>
      <c r="E18" t="s">
        <v>47</v>
      </c>
      <c r="F18" t="s">
        <v>47</v>
      </c>
      <c r="G18" t="s">
        <v>47</v>
      </c>
      <c r="I18" t="s">
        <v>46</v>
      </c>
      <c r="J18" t="s">
        <v>46</v>
      </c>
      <c r="K18" t="s">
        <v>47</v>
      </c>
      <c r="L18" t="s">
        <v>47</v>
      </c>
      <c r="M18" t="s">
        <v>47</v>
      </c>
      <c r="N18" t="s">
        <v>47</v>
      </c>
      <c r="O18" t="s">
        <v>46</v>
      </c>
      <c r="P18" t="s">
        <v>46</v>
      </c>
      <c r="Q18" t="s">
        <v>47</v>
      </c>
    </row>
    <row r="19" spans="1:17">
      <c r="A19" t="s">
        <v>19</v>
      </c>
      <c r="B19" t="b">
        <v>0</v>
      </c>
      <c r="C19" t="s">
        <v>48</v>
      </c>
      <c r="D19" t="s">
        <v>48</v>
      </c>
      <c r="E19" t="s">
        <v>48</v>
      </c>
      <c r="F19" t="s">
        <v>48</v>
      </c>
      <c r="G19" t="s">
        <v>48</v>
      </c>
      <c r="I19" t="s">
        <v>48</v>
      </c>
      <c r="J19" t="s">
        <v>48</v>
      </c>
      <c r="K19" t="s">
        <v>48</v>
      </c>
      <c r="L19" t="s">
        <v>48</v>
      </c>
      <c r="M19" t="s">
        <v>48</v>
      </c>
      <c r="O19" t="s">
        <v>48</v>
      </c>
      <c r="P19" t="s">
        <v>48</v>
      </c>
      <c r="Q19" t="s">
        <v>48</v>
      </c>
    </row>
    <row r="20" spans="1:17">
      <c r="A20" t="s">
        <v>20</v>
      </c>
      <c r="B20" t="b">
        <v>0</v>
      </c>
      <c r="C20" t="s">
        <v>49</v>
      </c>
      <c r="D20" t="s">
        <v>49</v>
      </c>
      <c r="E20" t="s">
        <v>49</v>
      </c>
      <c r="F20" t="s">
        <v>49</v>
      </c>
      <c r="G20" t="s">
        <v>49</v>
      </c>
      <c r="I20" t="s">
        <v>49</v>
      </c>
      <c r="J20" t="s">
        <v>49</v>
      </c>
      <c r="K20" t="s">
        <v>49</v>
      </c>
      <c r="L20" t="s">
        <v>49</v>
      </c>
      <c r="M20" t="s">
        <v>49</v>
      </c>
      <c r="O20" t="s">
        <v>49</v>
      </c>
      <c r="P20" t="s">
        <v>49</v>
      </c>
      <c r="Q20" t="s">
        <v>49</v>
      </c>
    </row>
    <row r="21" spans="1:17">
      <c r="A21" t="s">
        <v>21</v>
      </c>
      <c r="B21" t="b">
        <v>1</v>
      </c>
      <c r="C21" t="s">
        <v>50</v>
      </c>
      <c r="D21" t="s">
        <v>53</v>
      </c>
      <c r="E21" t="s">
        <v>50</v>
      </c>
      <c r="F21" t="s">
        <v>52</v>
      </c>
      <c r="G21" t="s">
        <v>64</v>
      </c>
      <c r="H21" t="s">
        <v>64</v>
      </c>
      <c r="I21" t="s">
        <v>66</v>
      </c>
      <c r="J21" t="s">
        <v>64</v>
      </c>
      <c r="K21" t="s">
        <v>64</v>
      </c>
      <c r="L21" t="s">
        <v>64</v>
      </c>
      <c r="M21" t="s">
        <v>64</v>
      </c>
      <c r="N21" t="s">
        <v>64</v>
      </c>
      <c r="O21" t="s">
        <v>65</v>
      </c>
      <c r="P21" t="s">
        <v>65</v>
      </c>
      <c r="Q21" t="s">
        <v>64</v>
      </c>
    </row>
    <row r="22" spans="1:17">
      <c r="A22" t="s">
        <v>22</v>
      </c>
      <c r="B22" t="b">
        <v>1</v>
      </c>
      <c r="C22" t="s">
        <v>51</v>
      </c>
      <c r="D22" t="s">
        <v>63</v>
      </c>
      <c r="E22" t="s">
        <v>56</v>
      </c>
      <c r="F22" t="s">
        <v>65</v>
      </c>
      <c r="G22" t="s">
        <v>52</v>
      </c>
      <c r="H22" t="s">
        <v>52</v>
      </c>
      <c r="I22" t="s">
        <v>50</v>
      </c>
      <c r="J22" t="s">
        <v>61</v>
      </c>
      <c r="K22" t="s">
        <v>61</v>
      </c>
      <c r="L22" t="s">
        <v>61</v>
      </c>
      <c r="M22" t="s">
        <v>61</v>
      </c>
      <c r="N22" t="s">
        <v>56</v>
      </c>
      <c r="O22" t="s">
        <v>61</v>
      </c>
      <c r="P22" t="s">
        <v>61</v>
      </c>
      <c r="Q22" t="s">
        <v>61</v>
      </c>
    </row>
    <row r="23" spans="1:17">
      <c r="A23" t="s">
        <v>23</v>
      </c>
      <c r="B23" t="b">
        <v>1</v>
      </c>
      <c r="C23" t="s">
        <v>52</v>
      </c>
      <c r="D23" t="s">
        <v>64</v>
      </c>
      <c r="E23" t="s">
        <v>65</v>
      </c>
      <c r="F23" t="s">
        <v>32</v>
      </c>
      <c r="G23" t="s">
        <v>32</v>
      </c>
      <c r="H23" t="s">
        <v>51</v>
      </c>
      <c r="I23" t="s">
        <v>52</v>
      </c>
      <c r="J23" t="s">
        <v>56</v>
      </c>
      <c r="K23" t="s">
        <v>56</v>
      </c>
      <c r="L23" t="s">
        <v>56</v>
      </c>
      <c r="M23" t="s">
        <v>37</v>
      </c>
      <c r="P23" t="s">
        <v>56</v>
      </c>
      <c r="Q23" t="s">
        <v>56</v>
      </c>
    </row>
    <row r="24" spans="1:17">
      <c r="A24" t="s">
        <v>24</v>
      </c>
      <c r="B24" t="b">
        <v>1</v>
      </c>
      <c r="C24" t="s">
        <v>53</v>
      </c>
      <c r="D24" t="s">
        <v>55</v>
      </c>
      <c r="E24" t="s">
        <v>52</v>
      </c>
      <c r="F24" t="s">
        <v>50</v>
      </c>
      <c r="G24" t="s">
        <v>50</v>
      </c>
      <c r="H24" t="s">
        <v>56</v>
      </c>
      <c r="I24" t="s">
        <v>51</v>
      </c>
      <c r="J24" t="s">
        <v>65</v>
      </c>
      <c r="K24" t="s">
        <v>66</v>
      </c>
      <c r="L24" t="s">
        <v>65</v>
      </c>
      <c r="M24" t="s">
        <v>56</v>
      </c>
      <c r="N24" t="s">
        <v>66</v>
      </c>
      <c r="P24" t="s">
        <v>64</v>
      </c>
      <c r="Q24" t="s">
        <v>63</v>
      </c>
    </row>
    <row r="25" spans="1:17">
      <c r="A25" t="s">
        <v>25</v>
      </c>
      <c r="B25" t="b">
        <v>1</v>
      </c>
      <c r="C25" t="s">
        <v>54</v>
      </c>
      <c r="D25" t="s">
        <v>54</v>
      </c>
      <c r="E25" t="s">
        <v>51</v>
      </c>
      <c r="F25" t="s">
        <v>51</v>
      </c>
      <c r="G25" t="s">
        <v>65</v>
      </c>
      <c r="H25" t="s">
        <v>65</v>
      </c>
      <c r="I25" t="s">
        <v>61</v>
      </c>
      <c r="J25" t="s">
        <v>66</v>
      </c>
      <c r="K25" t="s">
        <v>32</v>
      </c>
      <c r="L25" t="s">
        <v>32</v>
      </c>
      <c r="M25" t="s">
        <v>65</v>
      </c>
      <c r="N25" t="s">
        <v>65</v>
      </c>
      <c r="O25" t="s">
        <v>66</v>
      </c>
      <c r="P25" t="s">
        <v>66</v>
      </c>
      <c r="Q25" t="s">
        <v>32</v>
      </c>
    </row>
    <row r="26" spans="1:17">
      <c r="A26" t="s">
        <v>26</v>
      </c>
      <c r="B26" t="b">
        <v>1</v>
      </c>
      <c r="C26" t="s">
        <v>55</v>
      </c>
      <c r="D26" t="s">
        <v>65</v>
      </c>
      <c r="E26" t="s">
        <v>64</v>
      </c>
      <c r="F26" t="s">
        <v>56</v>
      </c>
      <c r="G26" t="s">
        <v>56</v>
      </c>
      <c r="H26" t="s">
        <v>50</v>
      </c>
      <c r="I26" t="s">
        <v>32</v>
      </c>
      <c r="J26" t="s">
        <v>60</v>
      </c>
      <c r="K26" t="s">
        <v>60</v>
      </c>
      <c r="L26" t="s">
        <v>60</v>
      </c>
      <c r="M26" t="s">
        <v>60</v>
      </c>
      <c r="N26" t="s">
        <v>32</v>
      </c>
      <c r="O26" t="s">
        <v>32</v>
      </c>
      <c r="P26" t="s">
        <v>60</v>
      </c>
      <c r="Q26" t="s">
        <v>60</v>
      </c>
    </row>
    <row r="27" spans="1:17">
      <c r="A27" t="s">
        <v>27</v>
      </c>
      <c r="B27" t="b">
        <v>1</v>
      </c>
      <c r="C27" t="s">
        <v>56</v>
      </c>
      <c r="D27" t="s">
        <v>66</v>
      </c>
      <c r="E27" t="s">
        <v>32</v>
      </c>
      <c r="F27" t="s">
        <v>64</v>
      </c>
      <c r="G27" t="s">
        <v>51</v>
      </c>
      <c r="H27" t="s">
        <v>32</v>
      </c>
      <c r="I27" t="s">
        <v>60</v>
      </c>
      <c r="J27" t="s">
        <v>37</v>
      </c>
      <c r="K27" t="s">
        <v>37</v>
      </c>
      <c r="L27" t="s">
        <v>37</v>
      </c>
      <c r="M27" t="s">
        <v>32</v>
      </c>
      <c r="N27" t="s">
        <v>37</v>
      </c>
      <c r="O27" t="s">
        <v>60</v>
      </c>
      <c r="P27" t="s">
        <v>37</v>
      </c>
      <c r="Q27" t="s">
        <v>37</v>
      </c>
    </row>
    <row r="28" spans="1:17">
      <c r="A28" t="s">
        <v>28</v>
      </c>
      <c r="B28" t="b">
        <v>1</v>
      </c>
      <c r="C28" t="s">
        <v>57</v>
      </c>
      <c r="D28" t="s">
        <v>57</v>
      </c>
      <c r="E28" t="s">
        <v>57</v>
      </c>
      <c r="F28" t="s">
        <v>57</v>
      </c>
      <c r="G28" t="s">
        <v>57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O28" t="s">
        <v>41</v>
      </c>
      <c r="P28" t="s">
        <v>41</v>
      </c>
      <c r="Q28" t="s">
        <v>41</v>
      </c>
    </row>
    <row r="29" spans="1:17">
      <c r="A29" t="s">
        <v>29</v>
      </c>
      <c r="B29" t="b">
        <v>1</v>
      </c>
      <c r="C29" t="s">
        <v>58</v>
      </c>
      <c r="D29" t="s">
        <v>58</v>
      </c>
      <c r="E29" t="s">
        <v>66</v>
      </c>
      <c r="F29" t="s">
        <v>66</v>
      </c>
      <c r="G29" t="s">
        <v>66</v>
      </c>
      <c r="H29" t="s">
        <v>45</v>
      </c>
      <c r="I29" t="s">
        <v>45</v>
      </c>
      <c r="J29" t="s">
        <v>45</v>
      </c>
      <c r="K29" t="s">
        <v>45</v>
      </c>
      <c r="L29" t="s">
        <v>45</v>
      </c>
      <c r="M29" t="s">
        <v>66</v>
      </c>
      <c r="N29" t="s">
        <v>45</v>
      </c>
      <c r="O29" t="s">
        <v>45</v>
      </c>
      <c r="P29" t="s">
        <v>45</v>
      </c>
      <c r="Q29" t="s">
        <v>45</v>
      </c>
    </row>
    <row r="30" spans="1:17">
      <c r="A30" t="s">
        <v>30</v>
      </c>
      <c r="B30" t="b">
        <v>1</v>
      </c>
      <c r="C30" t="s">
        <v>59</v>
      </c>
      <c r="D30" t="s">
        <v>59</v>
      </c>
      <c r="E30" t="s">
        <v>63</v>
      </c>
      <c r="F30" t="s">
        <v>63</v>
      </c>
      <c r="G30" t="s">
        <v>63</v>
      </c>
      <c r="H30" t="s">
        <v>63</v>
      </c>
      <c r="I30" t="s">
        <v>42</v>
      </c>
      <c r="J30" t="s">
        <v>42</v>
      </c>
      <c r="K30" t="s">
        <v>42</v>
      </c>
      <c r="L30" t="s">
        <v>42</v>
      </c>
      <c r="M30" t="s">
        <v>42</v>
      </c>
      <c r="N30" t="s">
        <v>43</v>
      </c>
      <c r="O30" t="s">
        <v>43</v>
      </c>
      <c r="P30" t="s">
        <v>43</v>
      </c>
      <c r="Q30" t="s">
        <v>43</v>
      </c>
    </row>
  </sheetData>
  <conditionalFormatting sqref="C2:Q30">
    <cfRule type="expression" dxfId="0" priority="1">
      <formula>C2=""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7"/>
  <sheetViews>
    <sheetView workbookViewId="0"/>
  </sheetViews>
  <sheetFormatPr defaultRowHeight="15"/>
  <cols>
    <col min="1" max="1" width="20.28515625" bestFit="1" customWidth="1"/>
    <col min="2" max="2" width="4.42578125" bestFit="1" customWidth="1"/>
    <col min="3" max="3" width="6.7109375" bestFit="1" customWidth="1"/>
    <col min="4" max="4" width="9.28515625" bestFit="1" customWidth="1"/>
    <col min="5" max="19" width="10.7109375" bestFit="1" customWidth="1"/>
  </cols>
  <sheetData>
    <row r="1" spans="1:19">
      <c r="A1" s="1" t="s">
        <v>67</v>
      </c>
      <c r="B1" s="1" t="s">
        <v>68</v>
      </c>
      <c r="C1" s="1" t="s">
        <v>69</v>
      </c>
      <c r="D1" s="1" t="s">
        <v>70</v>
      </c>
      <c r="E1" s="2">
        <v>46023</v>
      </c>
      <c r="F1" s="2">
        <v>46024</v>
      </c>
      <c r="G1" s="2">
        <v>46025</v>
      </c>
      <c r="H1" s="2">
        <v>46026</v>
      </c>
      <c r="I1" s="2">
        <v>46027</v>
      </c>
      <c r="J1" s="2">
        <v>46028</v>
      </c>
      <c r="K1" s="2">
        <v>46029</v>
      </c>
      <c r="L1" s="2">
        <v>46030</v>
      </c>
      <c r="M1" s="2">
        <v>46031</v>
      </c>
      <c r="N1" s="2">
        <v>46032</v>
      </c>
      <c r="O1" s="2">
        <v>46033</v>
      </c>
      <c r="P1" s="2">
        <v>46034</v>
      </c>
      <c r="Q1" s="2">
        <v>46035</v>
      </c>
      <c r="R1" s="2">
        <v>46036</v>
      </c>
      <c r="S1" s="2">
        <v>46037</v>
      </c>
    </row>
    <row r="2" spans="1:19">
      <c r="A2" t="s">
        <v>63</v>
      </c>
      <c r="B2">
        <f>SUMPRODUCT((Cronograma!B2:B30=FALSE) * (COUNTIF(E2:S2, Cronograma!A2:A30)))</f>
        <v>0</v>
      </c>
      <c r="C2">
        <f>SUMPRODUCT((Cronograma!B2:B30=TRUE) * (COUNTIF(E2:S2, Cronograma!A2:A30)))</f>
        <v>0</v>
      </c>
      <c r="D2">
        <f>SUM(((SUMPRODUCT((Cronograma!C$2:C$30=$A2)*1)=0)*NOT(SUMPRODUCT((Cronograma!D$2:D$30=$A2)*(Cronograma!$B$2:$B$30=FALSE))&gt;0)),(((SUMPRODUCT((Cronograma!D$2:D$30=$A2)*1)=0)*NOT(SUMPRODUCT((Cronograma!C$2:C$30=$A2)*(Cronograma!$B$2:$B$30=TRUE))&gt;0))+((SUMPRODUCT((Cronograma!D$2:D$30=$A2)*1)=0)*NOT(SUMPRODUCT((Cronograma!E$2:E$30=$A2)*(Cronograma!$B$2:$B$30=FALSE))&gt;0))&gt;0),(((SUMPRODUCT((Cronograma!E$2:E$30=$A2)*1)=0)*NOT(SUMPRODUCT((Cronograma!D$2:D$30=$A2)*(Cronograma!$B$2:$B$30=TRUE))&gt;0))+((SUMPRODUCT((Cronograma!E$2:E$30=$A2)*1)=0)*NOT(SUMPRODUCT((Cronograma!F$2:F$30=$A2)*(Cronograma!$B$2:$B$30=FALSE))&gt;0))&gt;0),(((SUMPRODUCT((Cronograma!F$2:F$30=$A2)*1)=0)*NOT(SUMPRODUCT((Cronograma!E$2:E$30=$A2)*(Cronograma!$B$2:$B$30=TRUE))&gt;0))+((SUMPRODUCT((Cronograma!F$2:F$30=$A2)*1)=0)*NOT(SUMPRODUCT((Cronograma!G$2:G$30=$A2)*(Cronograma!$B$2:$B$30=FALSE))&gt;0))&gt;0),(((SUMPRODUCT((Cronograma!G$2:G$30=$A2)*1)=0)*NOT(SUMPRODUCT((Cronograma!F$2:F$30=$A2)*(Cronograma!$B$2:$B$30=TRUE))&gt;0))+((SUMPRODUCT((Cronograma!G$2:G$30=$A2)*1)=0)*NOT(SUMPRODUCT((Cronograma!H$2:H$30=$A2)*(Cronograma!$B$2:$B$30=FALSE))&gt;0))&gt;0),(((SUMPRODUCT((Cronograma!H$2:H$30=$A2)*1)=0)*NOT(SUMPRODUCT((Cronograma!G$2:G$30=$A2)*(Cronograma!$B$2:$B$30=TRUE))&gt;0))+((SUMPRODUCT((Cronograma!H$2:H$30=$A2)*1)=0)*NOT(SUMPRODUCT((Cronograma!I$2:I$30=$A2)*(Cronograma!$B$2:$B$30=FALSE))&gt;0))&gt;0),(((SUMPRODUCT((Cronograma!I$2:I$30=$A2)*1)=0)*NOT(SUMPRODUCT((Cronograma!H$2:H$30=$A2)*(Cronograma!$B$2:$B$30=TRUE))&gt;0))+((SUMPRODUCT((Cronograma!I$2:I$30=$A2)*1)=0)*NOT(SUMPRODUCT((Cronograma!J$2:J$30=$A2)*(Cronograma!$B$2:$B$30=FALSE))&gt;0))&gt;0),(((SUMPRODUCT((Cronograma!J$2:J$30=$A2)*1)=0)*NOT(SUMPRODUCT((Cronograma!I$2:I$30=$A2)*(Cronograma!$B$2:$B$30=TRUE))&gt;0))+((SUMPRODUCT((Cronograma!J$2:J$30=$A2)*1)=0)*NOT(SUMPRODUCT((Cronograma!K$2:K$30=$A2)*(Cronograma!$B$2:$B$30=FALSE))&gt;0))&gt;0),(((SUMPRODUCT((Cronograma!K$2:K$30=$A2)*1)=0)*NOT(SUMPRODUCT((Cronograma!J$2:J$30=$A2)*(Cronograma!$B$2:$B$30=TRUE))&gt;0))+((SUMPRODUCT((Cronograma!K$2:K$30=$A2)*1)=0)*NOT(SUMPRODUCT((Cronograma!L$2:L$30=$A2)*(Cronograma!$B$2:$B$30=FALSE))&gt;0))&gt;0),(((SUMPRODUCT((Cronograma!L$2:L$30=$A2)*1)=0)*NOT(SUMPRODUCT((Cronograma!K$2:K$30=$A2)*(Cronograma!$B$2:$B$30=TRUE))&gt;0))+((SUMPRODUCT((Cronograma!L$2:L$30=$A2)*1)=0)*NOT(SUMPRODUCT((Cronograma!M$2:M$30=$A2)*(Cronograma!$B$2:$B$30=FALSE))&gt;0))&gt;0),(((SUMPRODUCT((Cronograma!M$2:M$30=$A2)*1)=0)*NOT(SUMPRODUCT((Cronograma!L$2:L$30=$A2)*(Cronograma!$B$2:$B$30=TRUE))&gt;0))+((SUMPRODUCT((Cronograma!M$2:M$30=$A2)*1)=0)*NOT(SUMPRODUCT((Cronograma!N$2:N$30=$A2)*(Cronograma!$B$2:$B$30=FALSE))&gt;0))&gt;0),(((SUMPRODUCT((Cronograma!N$2:N$30=$A2)*1)=0)*NOT(SUMPRODUCT((Cronograma!M$2:M$30=$A2)*(Cronograma!$B$2:$B$30=TRUE))&gt;0))+((SUMPRODUCT((Cronograma!N$2:N$30=$A2)*1)=0)*NOT(SUMPRODUCT((Cronograma!O$2:O$30=$A2)*(Cronograma!$B$2:$B$30=FALSE))&gt;0))&gt;0),(((SUMPRODUCT((Cronograma!O$2:O$30=$A2)*1)=0)*NOT(SUMPRODUCT((Cronograma!N$2:N$30=$A2)*(Cronograma!$B$2:$B$30=TRUE))&gt;0))+((SUMPRODUCT((Cronograma!O$2:O$30=$A2)*1)=0)*NOT(SUMPRODUCT((Cronograma!P$2:P$30=$A2)*(Cronograma!$B$2:$B$30=FALSE))&gt;0))&gt;0),(((SUMPRODUCT((Cronograma!P$2:P$30=$A2)*1)=0)*NOT(SUMPRODUCT((Cronograma!O$2:O$30=$A2)*(Cronograma!$B$2:$B$30=TRUE))&gt;0))+((SUMPRODUCT((Cronograma!P$2:P$30=$A2)*1)=0)*NOT(SUMPRODUCT((Cronograma!Q$2:Q$30=$A2)*(Cronograma!$B$2:$B$30=FALSE))&gt;0))&gt;0),((SUMPRODUCT((Cronograma!Q$2:Q$30=$A2)*1)=0)*NOT(SUMPRODUCT((Cronograma!P$2:P$30=$A2)*(Cronograma!$B$2:$B$30=TRUE))&gt;0)))</f>
        <v>0</v>
      </c>
      <c r="E2" cm="1">
        <f t="array" ref="E2">_xlfn.XLOOKUP("Adanies",Cronograma!C2:C30,Cronograma!A2:A30,"")</f>
        <v>0</v>
      </c>
      <c r="F2" cm="1">
        <f t="array" ref="F2">_xlfn.XLOOKUP("Adanies",Cronograma!D2:D30,Cronograma!A2:A30,"")</f>
        <v>0</v>
      </c>
      <c r="G2" cm="1">
        <f t="array" ref="G2">_xlfn.XLOOKUP("Adanies",Cronograma!E2:E30,Cronograma!A2:A30,"")</f>
        <v>0</v>
      </c>
      <c r="H2" cm="1">
        <f t="array" ref="H2">_xlfn.XLOOKUP("Adanies",Cronograma!F2:F30,Cronograma!A2:A30,"")</f>
        <v>0</v>
      </c>
      <c r="I2" cm="1">
        <f t="array" ref="I2">_xlfn.XLOOKUP("Adanies",Cronograma!G2:G30,Cronograma!A2:A30,"")</f>
        <v>0</v>
      </c>
      <c r="J2" cm="1">
        <f t="array" ref="J2">_xlfn.XLOOKUP("Adanies",Cronograma!H2:H30,Cronograma!A2:A30,"")</f>
        <v>0</v>
      </c>
      <c r="K2" cm="1">
        <f t="array" ref="K2">_xlfn.XLOOKUP("Adanies",Cronograma!I2:I30,Cronograma!A2:A30,"")</f>
        <v>0</v>
      </c>
      <c r="L2" cm="1">
        <f t="array" ref="L2">_xlfn.XLOOKUP("Adanies",Cronograma!J2:J30,Cronograma!A2:A30,"")</f>
        <v>0</v>
      </c>
      <c r="M2" cm="1">
        <f t="array" ref="M2">_xlfn.XLOOKUP("Adanies",Cronograma!K2:K30,Cronograma!A2:A30,"")</f>
        <v>0</v>
      </c>
      <c r="N2" cm="1">
        <f t="array" ref="N2">_xlfn.XLOOKUP("Adanies",Cronograma!L2:L30,Cronograma!A2:A30,"")</f>
        <v>0</v>
      </c>
      <c r="O2" cm="1">
        <f t="array" ref="O2">_xlfn.XLOOKUP("Adanies",Cronograma!M2:M30,Cronograma!A2:A30,"")</f>
        <v>0</v>
      </c>
      <c r="P2" cm="1">
        <f t="array" ref="P2">_xlfn.XLOOKUP("Adanies",Cronograma!N2:N30,Cronograma!A2:A30,"")</f>
        <v>0</v>
      </c>
      <c r="Q2" cm="1">
        <f t="array" ref="Q2">_xlfn.XLOOKUP("Adanies",Cronograma!O2:O30,Cronograma!A2:A30,"")</f>
        <v>0</v>
      </c>
      <c r="R2" cm="1">
        <f t="array" ref="R2">_xlfn.XLOOKUP("Adanies",Cronograma!P2:P30,Cronograma!A2:A30,"")</f>
        <v>0</v>
      </c>
      <c r="S2" cm="1">
        <f t="array" ref="S2">_xlfn.XLOOKUP("Adanies",Cronograma!Q2:Q30,Cronograma!A2:A30,"")</f>
        <v>0</v>
      </c>
    </row>
    <row r="3" spans="1:19">
      <c r="A3" t="s">
        <v>34</v>
      </c>
      <c r="B3">
        <f>SUMPRODUCT((Cronograma!B2:B30=FALSE) * (COUNTIF(E3:S3, Cronograma!A2:A30)))</f>
        <v>0</v>
      </c>
      <c r="C3">
        <f>SUMPRODUCT((Cronograma!B2:B30=TRUE) * (COUNTIF(E3:S3, Cronograma!A2:A30)))</f>
        <v>0</v>
      </c>
      <c r="D3">
        <f>SUM(((SUMPRODUCT((Cronograma!C$2:C$30=$A3)*1)=0)*NOT(SUMPRODUCT((Cronograma!D$2:D$30=$A3)*(Cronograma!$B$2:$B$30=FALSE))&gt;0)),(((SUMPRODUCT((Cronograma!D$2:D$30=$A3)*1)=0)*NOT(SUMPRODUCT((Cronograma!C$2:C$30=$A3)*(Cronograma!$B$2:$B$30=TRUE))&gt;0))+((SUMPRODUCT((Cronograma!D$2:D$30=$A3)*1)=0)*NOT(SUMPRODUCT((Cronograma!E$2:E$30=$A3)*(Cronograma!$B$2:$B$30=FALSE))&gt;0))&gt;0),(((SUMPRODUCT((Cronograma!E$2:E$30=$A3)*1)=0)*NOT(SUMPRODUCT((Cronograma!D$2:D$30=$A3)*(Cronograma!$B$2:$B$30=TRUE))&gt;0))+((SUMPRODUCT((Cronograma!E$2:E$30=$A3)*1)=0)*NOT(SUMPRODUCT((Cronograma!F$2:F$30=$A3)*(Cronograma!$B$2:$B$30=FALSE))&gt;0))&gt;0),(((SUMPRODUCT((Cronograma!F$2:F$30=$A3)*1)=0)*NOT(SUMPRODUCT((Cronograma!E$2:E$30=$A3)*(Cronograma!$B$2:$B$30=TRUE))&gt;0))+((SUMPRODUCT((Cronograma!F$2:F$30=$A3)*1)=0)*NOT(SUMPRODUCT((Cronograma!G$2:G$30=$A3)*(Cronograma!$B$2:$B$30=FALSE))&gt;0))&gt;0),(((SUMPRODUCT((Cronograma!G$2:G$30=$A3)*1)=0)*NOT(SUMPRODUCT((Cronograma!F$2:F$30=$A3)*(Cronograma!$B$2:$B$30=TRUE))&gt;0))+((SUMPRODUCT((Cronograma!G$2:G$30=$A3)*1)=0)*NOT(SUMPRODUCT((Cronograma!H$2:H$30=$A3)*(Cronograma!$B$2:$B$30=FALSE))&gt;0))&gt;0),(((SUMPRODUCT((Cronograma!H$2:H$30=$A3)*1)=0)*NOT(SUMPRODUCT((Cronograma!G$2:G$30=$A3)*(Cronograma!$B$2:$B$30=TRUE))&gt;0))+((SUMPRODUCT((Cronograma!H$2:H$30=$A3)*1)=0)*NOT(SUMPRODUCT((Cronograma!I$2:I$30=$A3)*(Cronograma!$B$2:$B$30=FALSE))&gt;0))&gt;0),(((SUMPRODUCT((Cronograma!I$2:I$30=$A3)*1)=0)*NOT(SUMPRODUCT((Cronograma!H$2:H$30=$A3)*(Cronograma!$B$2:$B$30=TRUE))&gt;0))+((SUMPRODUCT((Cronograma!I$2:I$30=$A3)*1)=0)*NOT(SUMPRODUCT((Cronograma!J$2:J$30=$A3)*(Cronograma!$B$2:$B$30=FALSE))&gt;0))&gt;0),(((SUMPRODUCT((Cronograma!J$2:J$30=$A3)*1)=0)*NOT(SUMPRODUCT((Cronograma!I$2:I$30=$A3)*(Cronograma!$B$2:$B$30=TRUE))&gt;0))+((SUMPRODUCT((Cronograma!J$2:J$30=$A3)*1)=0)*NOT(SUMPRODUCT((Cronograma!K$2:K$30=$A3)*(Cronograma!$B$2:$B$30=FALSE))&gt;0))&gt;0),(((SUMPRODUCT((Cronograma!K$2:K$30=$A3)*1)=0)*NOT(SUMPRODUCT((Cronograma!J$2:J$30=$A3)*(Cronograma!$B$2:$B$30=TRUE))&gt;0))+((SUMPRODUCT((Cronograma!K$2:K$30=$A3)*1)=0)*NOT(SUMPRODUCT((Cronograma!L$2:L$30=$A3)*(Cronograma!$B$2:$B$30=FALSE))&gt;0))&gt;0),(((SUMPRODUCT((Cronograma!L$2:L$30=$A3)*1)=0)*NOT(SUMPRODUCT((Cronograma!K$2:K$30=$A3)*(Cronograma!$B$2:$B$30=TRUE))&gt;0))+((SUMPRODUCT((Cronograma!L$2:L$30=$A3)*1)=0)*NOT(SUMPRODUCT((Cronograma!M$2:M$30=$A3)*(Cronograma!$B$2:$B$30=FALSE))&gt;0))&gt;0),(((SUMPRODUCT((Cronograma!M$2:M$30=$A3)*1)=0)*NOT(SUMPRODUCT((Cronograma!L$2:L$30=$A3)*(Cronograma!$B$2:$B$30=TRUE))&gt;0))+((SUMPRODUCT((Cronograma!M$2:M$30=$A3)*1)=0)*NOT(SUMPRODUCT((Cronograma!N$2:N$30=$A3)*(Cronograma!$B$2:$B$30=FALSE))&gt;0))&gt;0),(((SUMPRODUCT((Cronograma!N$2:N$30=$A3)*1)=0)*NOT(SUMPRODUCT((Cronograma!M$2:M$30=$A3)*(Cronograma!$B$2:$B$30=TRUE))&gt;0))+((SUMPRODUCT((Cronograma!N$2:N$30=$A3)*1)=0)*NOT(SUMPRODUCT((Cronograma!O$2:O$30=$A3)*(Cronograma!$B$2:$B$30=FALSE))&gt;0))&gt;0),(((SUMPRODUCT((Cronograma!O$2:O$30=$A3)*1)=0)*NOT(SUMPRODUCT((Cronograma!N$2:N$30=$A3)*(Cronograma!$B$2:$B$30=TRUE))&gt;0))+((SUMPRODUCT((Cronograma!O$2:O$30=$A3)*1)=0)*NOT(SUMPRODUCT((Cronograma!P$2:P$30=$A3)*(Cronograma!$B$2:$B$30=FALSE))&gt;0))&gt;0),(((SUMPRODUCT((Cronograma!P$2:P$30=$A3)*1)=0)*NOT(SUMPRODUCT((Cronograma!O$2:O$30=$A3)*(Cronograma!$B$2:$B$30=TRUE))&gt;0))+((SUMPRODUCT((Cronograma!P$2:P$30=$A3)*1)=0)*NOT(SUMPRODUCT((Cronograma!Q$2:Q$30=$A3)*(Cronograma!$B$2:$B$30=FALSE))&gt;0))&gt;0),((SUMPRODUCT((Cronograma!Q$2:Q$30=$A3)*1)=0)*NOT(SUMPRODUCT((Cronograma!P$2:P$30=$A3)*(Cronograma!$B$2:$B$30=TRUE))&gt;0)))</f>
        <v>0</v>
      </c>
      <c r="E3" cm="1">
        <f t="array" ref="E3">_xlfn.XLOOKUP("Alba Becerra",Cronograma!C2:C30,Cronograma!A2:A30,"")</f>
        <v>0</v>
      </c>
      <c r="F3" cm="1">
        <f t="array" ref="F3">_xlfn.XLOOKUP("Alba Becerra",Cronograma!D2:D30,Cronograma!A2:A30,"")</f>
        <v>0</v>
      </c>
      <c r="G3" cm="1">
        <f t="array" ref="G3">_xlfn.XLOOKUP("Alba Becerra",Cronograma!E2:E30,Cronograma!A2:A30,"")</f>
        <v>0</v>
      </c>
      <c r="H3" cm="1">
        <f t="array" ref="H3">_xlfn.XLOOKUP("Alba Becerra",Cronograma!F2:F30,Cronograma!A2:A30,"")</f>
        <v>0</v>
      </c>
      <c r="I3" cm="1">
        <f t="array" ref="I3">_xlfn.XLOOKUP("Alba Becerra",Cronograma!G2:G30,Cronograma!A2:A30,"")</f>
        <v>0</v>
      </c>
      <c r="J3" cm="1">
        <f t="array" ref="J3">_xlfn.XLOOKUP("Alba Becerra",Cronograma!H2:H30,Cronograma!A2:A30,"")</f>
        <v>0</v>
      </c>
      <c r="K3" cm="1">
        <f t="array" ref="K3">_xlfn.XLOOKUP("Alba Becerra",Cronograma!I2:I30,Cronograma!A2:A30,"")</f>
        <v>0</v>
      </c>
      <c r="L3" cm="1">
        <f t="array" ref="L3">_xlfn.XLOOKUP("Alba Becerra",Cronograma!J2:J30,Cronograma!A2:A30,"")</f>
        <v>0</v>
      </c>
      <c r="M3" cm="1">
        <f t="array" ref="M3">_xlfn.XLOOKUP("Alba Becerra",Cronograma!K2:K30,Cronograma!A2:A30,"")</f>
        <v>0</v>
      </c>
      <c r="N3" cm="1">
        <f t="array" ref="N3">_xlfn.XLOOKUP("Alba Becerra",Cronograma!L2:L30,Cronograma!A2:A30,"")</f>
        <v>0</v>
      </c>
      <c r="O3" cm="1">
        <f t="array" ref="O3">_xlfn.XLOOKUP("Alba Becerra",Cronograma!M2:M30,Cronograma!A2:A30,"")</f>
        <v>0</v>
      </c>
      <c r="P3" cm="1">
        <f t="array" ref="P3">_xlfn.XLOOKUP("Alba Becerra",Cronograma!N2:N30,Cronograma!A2:A30,"")</f>
        <v>0</v>
      </c>
      <c r="Q3" cm="1">
        <f t="array" ref="Q3">_xlfn.XLOOKUP("Alba Becerra",Cronograma!O2:O30,Cronograma!A2:A30,"")</f>
        <v>0</v>
      </c>
      <c r="R3" cm="1">
        <f t="array" ref="R3">_xlfn.XLOOKUP("Alba Becerra",Cronograma!P2:P30,Cronograma!A2:A30,"")</f>
        <v>0</v>
      </c>
      <c r="S3" cm="1">
        <f t="array" ref="S3">_xlfn.XLOOKUP("Alba Becerra",Cronograma!Q2:Q30,Cronograma!A2:A30,"")</f>
        <v>0</v>
      </c>
    </row>
    <row r="4" spans="1:19">
      <c r="A4" t="s">
        <v>35</v>
      </c>
      <c r="B4">
        <f>SUMPRODUCT((Cronograma!B2:B30=FALSE) * (COUNTIF(E4:S4, Cronograma!A2:A30)))</f>
        <v>0</v>
      </c>
      <c r="C4">
        <f>SUMPRODUCT((Cronograma!B2:B30=TRUE) * (COUNTIF(E4:S4, Cronograma!A2:A30)))</f>
        <v>0</v>
      </c>
      <c r="D4">
        <f>SUM(((SUMPRODUCT((Cronograma!C$2:C$30=$A4)*1)=0)*NOT(SUMPRODUCT((Cronograma!D$2:D$30=$A4)*(Cronograma!$B$2:$B$30=FALSE))&gt;0)),(((SUMPRODUCT((Cronograma!D$2:D$30=$A4)*1)=0)*NOT(SUMPRODUCT((Cronograma!C$2:C$30=$A4)*(Cronograma!$B$2:$B$30=TRUE))&gt;0))+((SUMPRODUCT((Cronograma!D$2:D$30=$A4)*1)=0)*NOT(SUMPRODUCT((Cronograma!E$2:E$30=$A4)*(Cronograma!$B$2:$B$30=FALSE))&gt;0))&gt;0),(((SUMPRODUCT((Cronograma!E$2:E$30=$A4)*1)=0)*NOT(SUMPRODUCT((Cronograma!D$2:D$30=$A4)*(Cronograma!$B$2:$B$30=TRUE))&gt;0))+((SUMPRODUCT((Cronograma!E$2:E$30=$A4)*1)=0)*NOT(SUMPRODUCT((Cronograma!F$2:F$30=$A4)*(Cronograma!$B$2:$B$30=FALSE))&gt;0))&gt;0),(((SUMPRODUCT((Cronograma!F$2:F$30=$A4)*1)=0)*NOT(SUMPRODUCT((Cronograma!E$2:E$30=$A4)*(Cronograma!$B$2:$B$30=TRUE))&gt;0))+((SUMPRODUCT((Cronograma!F$2:F$30=$A4)*1)=0)*NOT(SUMPRODUCT((Cronograma!G$2:G$30=$A4)*(Cronograma!$B$2:$B$30=FALSE))&gt;0))&gt;0),(((SUMPRODUCT((Cronograma!G$2:G$30=$A4)*1)=0)*NOT(SUMPRODUCT((Cronograma!F$2:F$30=$A4)*(Cronograma!$B$2:$B$30=TRUE))&gt;0))+((SUMPRODUCT((Cronograma!G$2:G$30=$A4)*1)=0)*NOT(SUMPRODUCT((Cronograma!H$2:H$30=$A4)*(Cronograma!$B$2:$B$30=FALSE))&gt;0))&gt;0),(((SUMPRODUCT((Cronograma!H$2:H$30=$A4)*1)=0)*NOT(SUMPRODUCT((Cronograma!G$2:G$30=$A4)*(Cronograma!$B$2:$B$30=TRUE))&gt;0))+((SUMPRODUCT((Cronograma!H$2:H$30=$A4)*1)=0)*NOT(SUMPRODUCT((Cronograma!I$2:I$30=$A4)*(Cronograma!$B$2:$B$30=FALSE))&gt;0))&gt;0),(((SUMPRODUCT((Cronograma!I$2:I$30=$A4)*1)=0)*NOT(SUMPRODUCT((Cronograma!H$2:H$30=$A4)*(Cronograma!$B$2:$B$30=TRUE))&gt;0))+((SUMPRODUCT((Cronograma!I$2:I$30=$A4)*1)=0)*NOT(SUMPRODUCT((Cronograma!J$2:J$30=$A4)*(Cronograma!$B$2:$B$30=FALSE))&gt;0))&gt;0),(((SUMPRODUCT((Cronograma!J$2:J$30=$A4)*1)=0)*NOT(SUMPRODUCT((Cronograma!I$2:I$30=$A4)*(Cronograma!$B$2:$B$30=TRUE))&gt;0))+((SUMPRODUCT((Cronograma!J$2:J$30=$A4)*1)=0)*NOT(SUMPRODUCT((Cronograma!K$2:K$30=$A4)*(Cronograma!$B$2:$B$30=FALSE))&gt;0))&gt;0),(((SUMPRODUCT((Cronograma!K$2:K$30=$A4)*1)=0)*NOT(SUMPRODUCT((Cronograma!J$2:J$30=$A4)*(Cronograma!$B$2:$B$30=TRUE))&gt;0))+((SUMPRODUCT((Cronograma!K$2:K$30=$A4)*1)=0)*NOT(SUMPRODUCT((Cronograma!L$2:L$30=$A4)*(Cronograma!$B$2:$B$30=FALSE))&gt;0))&gt;0),(((SUMPRODUCT((Cronograma!L$2:L$30=$A4)*1)=0)*NOT(SUMPRODUCT((Cronograma!K$2:K$30=$A4)*(Cronograma!$B$2:$B$30=TRUE))&gt;0))+((SUMPRODUCT((Cronograma!L$2:L$30=$A4)*1)=0)*NOT(SUMPRODUCT((Cronograma!M$2:M$30=$A4)*(Cronograma!$B$2:$B$30=FALSE))&gt;0))&gt;0),(((SUMPRODUCT((Cronograma!M$2:M$30=$A4)*1)=0)*NOT(SUMPRODUCT((Cronograma!L$2:L$30=$A4)*(Cronograma!$B$2:$B$30=TRUE))&gt;0))+((SUMPRODUCT((Cronograma!M$2:M$30=$A4)*1)=0)*NOT(SUMPRODUCT((Cronograma!N$2:N$30=$A4)*(Cronograma!$B$2:$B$30=FALSE))&gt;0))&gt;0),(((SUMPRODUCT((Cronograma!N$2:N$30=$A4)*1)=0)*NOT(SUMPRODUCT((Cronograma!M$2:M$30=$A4)*(Cronograma!$B$2:$B$30=TRUE))&gt;0))+((SUMPRODUCT((Cronograma!N$2:N$30=$A4)*1)=0)*NOT(SUMPRODUCT((Cronograma!O$2:O$30=$A4)*(Cronograma!$B$2:$B$30=FALSE))&gt;0))&gt;0),(((SUMPRODUCT((Cronograma!O$2:O$30=$A4)*1)=0)*NOT(SUMPRODUCT((Cronograma!N$2:N$30=$A4)*(Cronograma!$B$2:$B$30=TRUE))&gt;0))+((SUMPRODUCT((Cronograma!O$2:O$30=$A4)*1)=0)*NOT(SUMPRODUCT((Cronograma!P$2:P$30=$A4)*(Cronograma!$B$2:$B$30=FALSE))&gt;0))&gt;0),(((SUMPRODUCT((Cronograma!P$2:P$30=$A4)*1)=0)*NOT(SUMPRODUCT((Cronograma!O$2:O$30=$A4)*(Cronograma!$B$2:$B$30=TRUE))&gt;0))+((SUMPRODUCT((Cronograma!P$2:P$30=$A4)*1)=0)*NOT(SUMPRODUCT((Cronograma!Q$2:Q$30=$A4)*(Cronograma!$B$2:$B$30=FALSE))&gt;0))&gt;0),((SUMPRODUCT((Cronograma!Q$2:Q$30=$A4)*1)=0)*NOT(SUMPRODUCT((Cronograma!P$2:P$30=$A4)*(Cronograma!$B$2:$B$30=TRUE))&gt;0)))</f>
        <v>0</v>
      </c>
      <c r="E4" cm="1">
        <f t="array" ref="E4">_xlfn.XLOOKUP("Angie Castillo",Cronograma!C2:C30,Cronograma!A2:A30,"")</f>
        <v>0</v>
      </c>
      <c r="F4" cm="1">
        <f t="array" ref="F4">_xlfn.XLOOKUP("Angie Castillo",Cronograma!D2:D30,Cronograma!A2:A30,"")</f>
        <v>0</v>
      </c>
      <c r="G4" cm="1">
        <f t="array" ref="G4">_xlfn.XLOOKUP("Angie Castillo",Cronograma!E2:E30,Cronograma!A2:A30,"")</f>
        <v>0</v>
      </c>
      <c r="H4" cm="1">
        <f t="array" ref="H4">_xlfn.XLOOKUP("Angie Castillo",Cronograma!F2:F30,Cronograma!A2:A30,"")</f>
        <v>0</v>
      </c>
      <c r="I4" cm="1">
        <f t="array" ref="I4">_xlfn.XLOOKUP("Angie Castillo",Cronograma!G2:G30,Cronograma!A2:A30,"")</f>
        <v>0</v>
      </c>
      <c r="J4" cm="1">
        <f t="array" ref="J4">_xlfn.XLOOKUP("Angie Castillo",Cronograma!H2:H30,Cronograma!A2:A30,"")</f>
        <v>0</v>
      </c>
      <c r="K4" cm="1">
        <f t="array" ref="K4">_xlfn.XLOOKUP("Angie Castillo",Cronograma!I2:I30,Cronograma!A2:A30,"")</f>
        <v>0</v>
      </c>
      <c r="L4" cm="1">
        <f t="array" ref="L4">_xlfn.XLOOKUP("Angie Castillo",Cronograma!J2:J30,Cronograma!A2:A30,"")</f>
        <v>0</v>
      </c>
      <c r="M4" cm="1">
        <f t="array" ref="M4">_xlfn.XLOOKUP("Angie Castillo",Cronograma!K2:K30,Cronograma!A2:A30,"")</f>
        <v>0</v>
      </c>
      <c r="N4" cm="1">
        <f t="array" ref="N4">_xlfn.XLOOKUP("Angie Castillo",Cronograma!L2:L30,Cronograma!A2:A30,"")</f>
        <v>0</v>
      </c>
      <c r="O4" cm="1">
        <f t="array" ref="O4">_xlfn.XLOOKUP("Angie Castillo",Cronograma!M2:M30,Cronograma!A2:A30,"")</f>
        <v>0</v>
      </c>
      <c r="P4" cm="1">
        <f t="array" ref="P4">_xlfn.XLOOKUP("Angie Castillo",Cronograma!N2:N30,Cronograma!A2:A30,"")</f>
        <v>0</v>
      </c>
      <c r="Q4" cm="1">
        <f t="array" ref="Q4">_xlfn.XLOOKUP("Angie Castillo",Cronograma!O2:O30,Cronograma!A2:A30,"")</f>
        <v>0</v>
      </c>
      <c r="R4" cm="1">
        <f t="array" ref="R4">_xlfn.XLOOKUP("Angie Castillo",Cronograma!P2:P30,Cronograma!A2:A30,"")</f>
        <v>0</v>
      </c>
      <c r="S4" cm="1">
        <f t="array" ref="S4">_xlfn.XLOOKUP("Angie Castillo",Cronograma!Q2:Q30,Cronograma!A2:A30,"")</f>
        <v>0</v>
      </c>
    </row>
    <row r="5" spans="1:19">
      <c r="A5" t="s">
        <v>53</v>
      </c>
      <c r="B5">
        <f>SUMPRODUCT((Cronograma!B2:B30=FALSE) * (COUNTIF(E5:S5, Cronograma!A2:A30)))</f>
        <v>0</v>
      </c>
      <c r="C5">
        <f>SUMPRODUCT((Cronograma!B2:B30=TRUE) * (COUNTIF(E5:S5, Cronograma!A2:A30)))</f>
        <v>0</v>
      </c>
      <c r="D5">
        <f>SUM(((SUMPRODUCT((Cronograma!C$2:C$30=$A5)*1)=0)*NOT(SUMPRODUCT((Cronograma!D$2:D$30=$A5)*(Cronograma!$B$2:$B$30=FALSE))&gt;0)),(((SUMPRODUCT((Cronograma!D$2:D$30=$A5)*1)=0)*NOT(SUMPRODUCT((Cronograma!C$2:C$30=$A5)*(Cronograma!$B$2:$B$30=TRUE))&gt;0))+((SUMPRODUCT((Cronograma!D$2:D$30=$A5)*1)=0)*NOT(SUMPRODUCT((Cronograma!E$2:E$30=$A5)*(Cronograma!$B$2:$B$30=FALSE))&gt;0))&gt;0),(((SUMPRODUCT((Cronograma!E$2:E$30=$A5)*1)=0)*NOT(SUMPRODUCT((Cronograma!D$2:D$30=$A5)*(Cronograma!$B$2:$B$30=TRUE))&gt;0))+((SUMPRODUCT((Cronograma!E$2:E$30=$A5)*1)=0)*NOT(SUMPRODUCT((Cronograma!F$2:F$30=$A5)*(Cronograma!$B$2:$B$30=FALSE))&gt;0))&gt;0),(((SUMPRODUCT((Cronograma!F$2:F$30=$A5)*1)=0)*NOT(SUMPRODUCT((Cronograma!E$2:E$30=$A5)*(Cronograma!$B$2:$B$30=TRUE))&gt;0))+((SUMPRODUCT((Cronograma!F$2:F$30=$A5)*1)=0)*NOT(SUMPRODUCT((Cronograma!G$2:G$30=$A5)*(Cronograma!$B$2:$B$30=FALSE))&gt;0))&gt;0),(((SUMPRODUCT((Cronograma!G$2:G$30=$A5)*1)=0)*NOT(SUMPRODUCT((Cronograma!F$2:F$30=$A5)*(Cronograma!$B$2:$B$30=TRUE))&gt;0))+((SUMPRODUCT((Cronograma!G$2:G$30=$A5)*1)=0)*NOT(SUMPRODUCT((Cronograma!H$2:H$30=$A5)*(Cronograma!$B$2:$B$30=FALSE))&gt;0))&gt;0),(((SUMPRODUCT((Cronograma!H$2:H$30=$A5)*1)=0)*NOT(SUMPRODUCT((Cronograma!G$2:G$30=$A5)*(Cronograma!$B$2:$B$30=TRUE))&gt;0))+((SUMPRODUCT((Cronograma!H$2:H$30=$A5)*1)=0)*NOT(SUMPRODUCT((Cronograma!I$2:I$30=$A5)*(Cronograma!$B$2:$B$30=FALSE))&gt;0))&gt;0),(((SUMPRODUCT((Cronograma!I$2:I$30=$A5)*1)=0)*NOT(SUMPRODUCT((Cronograma!H$2:H$30=$A5)*(Cronograma!$B$2:$B$30=TRUE))&gt;0))+((SUMPRODUCT((Cronograma!I$2:I$30=$A5)*1)=0)*NOT(SUMPRODUCT((Cronograma!J$2:J$30=$A5)*(Cronograma!$B$2:$B$30=FALSE))&gt;0))&gt;0),(((SUMPRODUCT((Cronograma!J$2:J$30=$A5)*1)=0)*NOT(SUMPRODUCT((Cronograma!I$2:I$30=$A5)*(Cronograma!$B$2:$B$30=TRUE))&gt;0))+((SUMPRODUCT((Cronograma!J$2:J$30=$A5)*1)=0)*NOT(SUMPRODUCT((Cronograma!K$2:K$30=$A5)*(Cronograma!$B$2:$B$30=FALSE))&gt;0))&gt;0),(((SUMPRODUCT((Cronograma!K$2:K$30=$A5)*1)=0)*NOT(SUMPRODUCT((Cronograma!J$2:J$30=$A5)*(Cronograma!$B$2:$B$30=TRUE))&gt;0))+((SUMPRODUCT((Cronograma!K$2:K$30=$A5)*1)=0)*NOT(SUMPRODUCT((Cronograma!L$2:L$30=$A5)*(Cronograma!$B$2:$B$30=FALSE))&gt;0))&gt;0),(((SUMPRODUCT((Cronograma!L$2:L$30=$A5)*1)=0)*NOT(SUMPRODUCT((Cronograma!K$2:K$30=$A5)*(Cronograma!$B$2:$B$30=TRUE))&gt;0))+((SUMPRODUCT((Cronograma!L$2:L$30=$A5)*1)=0)*NOT(SUMPRODUCT((Cronograma!M$2:M$30=$A5)*(Cronograma!$B$2:$B$30=FALSE))&gt;0))&gt;0),(((SUMPRODUCT((Cronograma!M$2:M$30=$A5)*1)=0)*NOT(SUMPRODUCT((Cronograma!L$2:L$30=$A5)*(Cronograma!$B$2:$B$30=TRUE))&gt;0))+((SUMPRODUCT((Cronograma!M$2:M$30=$A5)*1)=0)*NOT(SUMPRODUCT((Cronograma!N$2:N$30=$A5)*(Cronograma!$B$2:$B$30=FALSE))&gt;0))&gt;0),(((SUMPRODUCT((Cronograma!N$2:N$30=$A5)*1)=0)*NOT(SUMPRODUCT((Cronograma!M$2:M$30=$A5)*(Cronograma!$B$2:$B$30=TRUE))&gt;0))+((SUMPRODUCT((Cronograma!N$2:N$30=$A5)*1)=0)*NOT(SUMPRODUCT((Cronograma!O$2:O$30=$A5)*(Cronograma!$B$2:$B$30=FALSE))&gt;0))&gt;0),(((SUMPRODUCT((Cronograma!O$2:O$30=$A5)*1)=0)*NOT(SUMPRODUCT((Cronograma!N$2:N$30=$A5)*(Cronograma!$B$2:$B$30=TRUE))&gt;0))+((SUMPRODUCT((Cronograma!O$2:O$30=$A5)*1)=0)*NOT(SUMPRODUCT((Cronograma!P$2:P$30=$A5)*(Cronograma!$B$2:$B$30=FALSE))&gt;0))&gt;0),(((SUMPRODUCT((Cronograma!P$2:P$30=$A5)*1)=0)*NOT(SUMPRODUCT((Cronograma!O$2:O$30=$A5)*(Cronograma!$B$2:$B$30=TRUE))&gt;0))+((SUMPRODUCT((Cronograma!P$2:P$30=$A5)*1)=0)*NOT(SUMPRODUCT((Cronograma!Q$2:Q$30=$A5)*(Cronograma!$B$2:$B$30=FALSE))&gt;0))&gt;0),((SUMPRODUCT((Cronograma!Q$2:Q$30=$A5)*1)=0)*NOT(SUMPRODUCT((Cronograma!P$2:P$30=$A5)*(Cronograma!$B$2:$B$30=TRUE))&gt;0)))</f>
        <v>0</v>
      </c>
      <c r="E5" cm="1">
        <f t="array" ref="E5">_xlfn.XLOOKUP("Anyelis",Cronograma!C2:C30,Cronograma!A2:A30,"")</f>
        <v>0</v>
      </c>
      <c r="F5" cm="1">
        <f t="array" ref="F5">_xlfn.XLOOKUP("Anyelis",Cronograma!D2:D30,Cronograma!A2:A30,"")</f>
        <v>0</v>
      </c>
      <c r="G5" cm="1">
        <f t="array" ref="G5">_xlfn.XLOOKUP("Anyelis",Cronograma!E2:E30,Cronograma!A2:A30,"")</f>
        <v>0</v>
      </c>
      <c r="H5" cm="1">
        <f t="array" ref="H5">_xlfn.XLOOKUP("Anyelis",Cronograma!F2:F30,Cronograma!A2:A30,"")</f>
        <v>0</v>
      </c>
      <c r="I5" cm="1">
        <f t="array" ref="I5">_xlfn.XLOOKUP("Anyelis",Cronograma!G2:G30,Cronograma!A2:A30,"")</f>
        <v>0</v>
      </c>
      <c r="J5" cm="1">
        <f t="array" ref="J5">_xlfn.XLOOKUP("Anyelis",Cronograma!H2:H30,Cronograma!A2:A30,"")</f>
        <v>0</v>
      </c>
      <c r="K5" cm="1">
        <f t="array" ref="K5">_xlfn.XLOOKUP("Anyelis",Cronograma!I2:I30,Cronograma!A2:A30,"")</f>
        <v>0</v>
      </c>
      <c r="L5" cm="1">
        <f t="array" ref="L5">_xlfn.XLOOKUP("Anyelis",Cronograma!J2:J30,Cronograma!A2:A30,"")</f>
        <v>0</v>
      </c>
      <c r="M5" cm="1">
        <f t="array" ref="M5">_xlfn.XLOOKUP("Anyelis",Cronograma!K2:K30,Cronograma!A2:A30,"")</f>
        <v>0</v>
      </c>
      <c r="N5" cm="1">
        <f t="array" ref="N5">_xlfn.XLOOKUP("Anyelis",Cronograma!L2:L30,Cronograma!A2:A30,"")</f>
        <v>0</v>
      </c>
      <c r="O5" cm="1">
        <f t="array" ref="O5">_xlfn.XLOOKUP("Anyelis",Cronograma!M2:M30,Cronograma!A2:A30,"")</f>
        <v>0</v>
      </c>
      <c r="P5" cm="1">
        <f t="array" ref="P5">_xlfn.XLOOKUP("Anyelis",Cronograma!N2:N30,Cronograma!A2:A30,"")</f>
        <v>0</v>
      </c>
      <c r="Q5" cm="1">
        <f t="array" ref="Q5">_xlfn.XLOOKUP("Anyelis",Cronograma!O2:O30,Cronograma!A2:A30,"")</f>
        <v>0</v>
      </c>
      <c r="R5" cm="1">
        <f t="array" ref="R5">_xlfn.XLOOKUP("Anyelis",Cronograma!P2:P30,Cronograma!A2:A30,"")</f>
        <v>0</v>
      </c>
      <c r="S5" cm="1">
        <f t="array" ref="S5">_xlfn.XLOOKUP("Anyelis",Cronograma!Q2:Q30,Cronograma!A2:A30,"")</f>
        <v>0</v>
      </c>
    </row>
    <row r="6" spans="1:19">
      <c r="A6" t="s">
        <v>55</v>
      </c>
      <c r="B6">
        <f>SUMPRODUCT((Cronograma!B2:B30=FALSE) * (COUNTIF(E6:S6, Cronograma!A2:A30)))</f>
        <v>0</v>
      </c>
      <c r="C6">
        <f>SUMPRODUCT((Cronograma!B2:B30=TRUE) * (COUNTIF(E6:S6, Cronograma!A2:A30)))</f>
        <v>0</v>
      </c>
      <c r="D6">
        <f>SUM(((SUMPRODUCT((Cronograma!C$2:C$30=$A6)*1)=0)*NOT(SUMPRODUCT((Cronograma!D$2:D$30=$A6)*(Cronograma!$B$2:$B$30=FALSE))&gt;0)),(((SUMPRODUCT((Cronograma!D$2:D$30=$A6)*1)=0)*NOT(SUMPRODUCT((Cronograma!C$2:C$30=$A6)*(Cronograma!$B$2:$B$30=TRUE))&gt;0))+((SUMPRODUCT((Cronograma!D$2:D$30=$A6)*1)=0)*NOT(SUMPRODUCT((Cronograma!E$2:E$30=$A6)*(Cronograma!$B$2:$B$30=FALSE))&gt;0))&gt;0),(((SUMPRODUCT((Cronograma!E$2:E$30=$A6)*1)=0)*NOT(SUMPRODUCT((Cronograma!D$2:D$30=$A6)*(Cronograma!$B$2:$B$30=TRUE))&gt;0))+((SUMPRODUCT((Cronograma!E$2:E$30=$A6)*1)=0)*NOT(SUMPRODUCT((Cronograma!F$2:F$30=$A6)*(Cronograma!$B$2:$B$30=FALSE))&gt;0))&gt;0),(((SUMPRODUCT((Cronograma!F$2:F$30=$A6)*1)=0)*NOT(SUMPRODUCT((Cronograma!E$2:E$30=$A6)*(Cronograma!$B$2:$B$30=TRUE))&gt;0))+((SUMPRODUCT((Cronograma!F$2:F$30=$A6)*1)=0)*NOT(SUMPRODUCT((Cronograma!G$2:G$30=$A6)*(Cronograma!$B$2:$B$30=FALSE))&gt;0))&gt;0),(((SUMPRODUCT((Cronograma!G$2:G$30=$A6)*1)=0)*NOT(SUMPRODUCT((Cronograma!F$2:F$30=$A6)*(Cronograma!$B$2:$B$30=TRUE))&gt;0))+((SUMPRODUCT((Cronograma!G$2:G$30=$A6)*1)=0)*NOT(SUMPRODUCT((Cronograma!H$2:H$30=$A6)*(Cronograma!$B$2:$B$30=FALSE))&gt;0))&gt;0),(((SUMPRODUCT((Cronograma!H$2:H$30=$A6)*1)=0)*NOT(SUMPRODUCT((Cronograma!G$2:G$30=$A6)*(Cronograma!$B$2:$B$30=TRUE))&gt;0))+((SUMPRODUCT((Cronograma!H$2:H$30=$A6)*1)=0)*NOT(SUMPRODUCT((Cronograma!I$2:I$30=$A6)*(Cronograma!$B$2:$B$30=FALSE))&gt;0))&gt;0),(((SUMPRODUCT((Cronograma!I$2:I$30=$A6)*1)=0)*NOT(SUMPRODUCT((Cronograma!H$2:H$30=$A6)*(Cronograma!$B$2:$B$30=TRUE))&gt;0))+((SUMPRODUCT((Cronograma!I$2:I$30=$A6)*1)=0)*NOT(SUMPRODUCT((Cronograma!J$2:J$30=$A6)*(Cronograma!$B$2:$B$30=FALSE))&gt;0))&gt;0),(((SUMPRODUCT((Cronograma!J$2:J$30=$A6)*1)=0)*NOT(SUMPRODUCT((Cronograma!I$2:I$30=$A6)*(Cronograma!$B$2:$B$30=TRUE))&gt;0))+((SUMPRODUCT((Cronograma!J$2:J$30=$A6)*1)=0)*NOT(SUMPRODUCT((Cronograma!K$2:K$30=$A6)*(Cronograma!$B$2:$B$30=FALSE))&gt;0))&gt;0),(((SUMPRODUCT((Cronograma!K$2:K$30=$A6)*1)=0)*NOT(SUMPRODUCT((Cronograma!J$2:J$30=$A6)*(Cronograma!$B$2:$B$30=TRUE))&gt;0))+((SUMPRODUCT((Cronograma!K$2:K$30=$A6)*1)=0)*NOT(SUMPRODUCT((Cronograma!L$2:L$30=$A6)*(Cronograma!$B$2:$B$30=FALSE))&gt;0))&gt;0),(((SUMPRODUCT((Cronograma!L$2:L$30=$A6)*1)=0)*NOT(SUMPRODUCT((Cronograma!K$2:K$30=$A6)*(Cronograma!$B$2:$B$30=TRUE))&gt;0))+((SUMPRODUCT((Cronograma!L$2:L$30=$A6)*1)=0)*NOT(SUMPRODUCT((Cronograma!M$2:M$30=$A6)*(Cronograma!$B$2:$B$30=FALSE))&gt;0))&gt;0),(((SUMPRODUCT((Cronograma!M$2:M$30=$A6)*1)=0)*NOT(SUMPRODUCT((Cronograma!L$2:L$30=$A6)*(Cronograma!$B$2:$B$30=TRUE))&gt;0))+((SUMPRODUCT((Cronograma!M$2:M$30=$A6)*1)=0)*NOT(SUMPRODUCT((Cronograma!N$2:N$30=$A6)*(Cronograma!$B$2:$B$30=FALSE))&gt;0))&gt;0),(((SUMPRODUCT((Cronograma!N$2:N$30=$A6)*1)=0)*NOT(SUMPRODUCT((Cronograma!M$2:M$30=$A6)*(Cronograma!$B$2:$B$30=TRUE))&gt;0))+((SUMPRODUCT((Cronograma!N$2:N$30=$A6)*1)=0)*NOT(SUMPRODUCT((Cronograma!O$2:O$30=$A6)*(Cronograma!$B$2:$B$30=FALSE))&gt;0))&gt;0),(((SUMPRODUCT((Cronograma!O$2:O$30=$A6)*1)=0)*NOT(SUMPRODUCT((Cronograma!N$2:N$30=$A6)*(Cronograma!$B$2:$B$30=TRUE))&gt;0))+((SUMPRODUCT((Cronograma!O$2:O$30=$A6)*1)=0)*NOT(SUMPRODUCT((Cronograma!P$2:P$30=$A6)*(Cronograma!$B$2:$B$30=FALSE))&gt;0))&gt;0),(((SUMPRODUCT((Cronograma!P$2:P$30=$A6)*1)=0)*NOT(SUMPRODUCT((Cronograma!O$2:O$30=$A6)*(Cronograma!$B$2:$B$30=TRUE))&gt;0))+((SUMPRODUCT((Cronograma!P$2:P$30=$A6)*1)=0)*NOT(SUMPRODUCT((Cronograma!Q$2:Q$30=$A6)*(Cronograma!$B$2:$B$30=FALSE))&gt;0))&gt;0),((SUMPRODUCT((Cronograma!Q$2:Q$30=$A6)*1)=0)*NOT(SUMPRODUCT((Cronograma!P$2:P$30=$A6)*(Cronograma!$B$2:$B$30=TRUE))&gt;0)))</f>
        <v>0</v>
      </c>
      <c r="E6" cm="1">
        <f t="array" ref="E6">_xlfn.XLOOKUP("Darcy Lorena",Cronograma!C2:C30,Cronograma!A2:A30,"")</f>
        <v>0</v>
      </c>
      <c r="F6" cm="1">
        <f t="array" ref="F6">_xlfn.XLOOKUP("Darcy Lorena",Cronograma!D2:D30,Cronograma!A2:A30,"")</f>
        <v>0</v>
      </c>
      <c r="G6" cm="1">
        <f t="array" ref="G6">_xlfn.XLOOKUP("Darcy Lorena",Cronograma!E2:E30,Cronograma!A2:A30,"")</f>
        <v>0</v>
      </c>
      <c r="H6" cm="1">
        <f t="array" ref="H6">_xlfn.XLOOKUP("Darcy Lorena",Cronograma!F2:F30,Cronograma!A2:A30,"")</f>
        <v>0</v>
      </c>
      <c r="I6" cm="1">
        <f t="array" ref="I6">_xlfn.XLOOKUP("Darcy Lorena",Cronograma!G2:G30,Cronograma!A2:A30,"")</f>
        <v>0</v>
      </c>
      <c r="J6" cm="1">
        <f t="array" ref="J6">_xlfn.XLOOKUP("Darcy Lorena",Cronograma!H2:H30,Cronograma!A2:A30,"")</f>
        <v>0</v>
      </c>
      <c r="K6" cm="1">
        <f t="array" ref="K6">_xlfn.XLOOKUP("Darcy Lorena",Cronograma!I2:I30,Cronograma!A2:A30,"")</f>
        <v>0</v>
      </c>
      <c r="L6" cm="1">
        <f t="array" ref="L6">_xlfn.XLOOKUP("Darcy Lorena",Cronograma!J2:J30,Cronograma!A2:A30,"")</f>
        <v>0</v>
      </c>
      <c r="M6" cm="1">
        <f t="array" ref="M6">_xlfn.XLOOKUP("Darcy Lorena",Cronograma!K2:K30,Cronograma!A2:A30,"")</f>
        <v>0</v>
      </c>
      <c r="N6" cm="1">
        <f t="array" ref="N6">_xlfn.XLOOKUP("Darcy Lorena",Cronograma!L2:L30,Cronograma!A2:A30,"")</f>
        <v>0</v>
      </c>
      <c r="O6" cm="1">
        <f t="array" ref="O6">_xlfn.XLOOKUP("Darcy Lorena",Cronograma!M2:M30,Cronograma!A2:A30,"")</f>
        <v>0</v>
      </c>
      <c r="P6" cm="1">
        <f t="array" ref="P6">_xlfn.XLOOKUP("Darcy Lorena",Cronograma!N2:N30,Cronograma!A2:A30,"")</f>
        <v>0</v>
      </c>
      <c r="Q6" cm="1">
        <f t="array" ref="Q6">_xlfn.XLOOKUP("Darcy Lorena",Cronograma!O2:O30,Cronograma!A2:A30,"")</f>
        <v>0</v>
      </c>
      <c r="R6" cm="1">
        <f t="array" ref="R6">_xlfn.XLOOKUP("Darcy Lorena",Cronograma!P2:P30,Cronograma!A2:A30,"")</f>
        <v>0</v>
      </c>
      <c r="S6" cm="1">
        <f t="array" ref="S6">_xlfn.XLOOKUP("Darcy Lorena",Cronograma!Q2:Q30,Cronograma!A2:A30,"")</f>
        <v>0</v>
      </c>
    </row>
    <row r="7" spans="1:19">
      <c r="A7" t="s">
        <v>31</v>
      </c>
      <c r="B7">
        <f>SUMPRODUCT((Cronograma!B2:B30=FALSE) * (COUNTIF(E7:S7, Cronograma!A2:A30)))</f>
        <v>0</v>
      </c>
      <c r="C7">
        <f>SUMPRODUCT((Cronograma!B2:B30=TRUE) * (COUNTIF(E7:S7, Cronograma!A2:A30)))</f>
        <v>0</v>
      </c>
      <c r="D7">
        <f>SUM(((SUMPRODUCT((Cronograma!C$2:C$30=$A7)*1)=0)*NOT(SUMPRODUCT((Cronograma!D$2:D$30=$A7)*(Cronograma!$B$2:$B$30=FALSE))&gt;0)),(((SUMPRODUCT((Cronograma!D$2:D$30=$A7)*1)=0)*NOT(SUMPRODUCT((Cronograma!C$2:C$30=$A7)*(Cronograma!$B$2:$B$30=TRUE))&gt;0))+((SUMPRODUCT((Cronograma!D$2:D$30=$A7)*1)=0)*NOT(SUMPRODUCT((Cronograma!E$2:E$30=$A7)*(Cronograma!$B$2:$B$30=FALSE))&gt;0))&gt;0),(((SUMPRODUCT((Cronograma!E$2:E$30=$A7)*1)=0)*NOT(SUMPRODUCT((Cronograma!D$2:D$30=$A7)*(Cronograma!$B$2:$B$30=TRUE))&gt;0))+((SUMPRODUCT((Cronograma!E$2:E$30=$A7)*1)=0)*NOT(SUMPRODUCT((Cronograma!F$2:F$30=$A7)*(Cronograma!$B$2:$B$30=FALSE))&gt;0))&gt;0),(((SUMPRODUCT((Cronograma!F$2:F$30=$A7)*1)=0)*NOT(SUMPRODUCT((Cronograma!E$2:E$30=$A7)*(Cronograma!$B$2:$B$30=TRUE))&gt;0))+((SUMPRODUCT((Cronograma!F$2:F$30=$A7)*1)=0)*NOT(SUMPRODUCT((Cronograma!G$2:G$30=$A7)*(Cronograma!$B$2:$B$30=FALSE))&gt;0))&gt;0),(((SUMPRODUCT((Cronograma!G$2:G$30=$A7)*1)=0)*NOT(SUMPRODUCT((Cronograma!F$2:F$30=$A7)*(Cronograma!$B$2:$B$30=TRUE))&gt;0))+((SUMPRODUCT((Cronograma!G$2:G$30=$A7)*1)=0)*NOT(SUMPRODUCT((Cronograma!H$2:H$30=$A7)*(Cronograma!$B$2:$B$30=FALSE))&gt;0))&gt;0),(((SUMPRODUCT((Cronograma!H$2:H$30=$A7)*1)=0)*NOT(SUMPRODUCT((Cronograma!G$2:G$30=$A7)*(Cronograma!$B$2:$B$30=TRUE))&gt;0))+((SUMPRODUCT((Cronograma!H$2:H$30=$A7)*1)=0)*NOT(SUMPRODUCT((Cronograma!I$2:I$30=$A7)*(Cronograma!$B$2:$B$30=FALSE))&gt;0))&gt;0),(((SUMPRODUCT((Cronograma!I$2:I$30=$A7)*1)=0)*NOT(SUMPRODUCT((Cronograma!H$2:H$30=$A7)*(Cronograma!$B$2:$B$30=TRUE))&gt;0))+((SUMPRODUCT((Cronograma!I$2:I$30=$A7)*1)=0)*NOT(SUMPRODUCT((Cronograma!J$2:J$30=$A7)*(Cronograma!$B$2:$B$30=FALSE))&gt;0))&gt;0),(((SUMPRODUCT((Cronograma!J$2:J$30=$A7)*1)=0)*NOT(SUMPRODUCT((Cronograma!I$2:I$30=$A7)*(Cronograma!$B$2:$B$30=TRUE))&gt;0))+((SUMPRODUCT((Cronograma!J$2:J$30=$A7)*1)=0)*NOT(SUMPRODUCT((Cronograma!K$2:K$30=$A7)*(Cronograma!$B$2:$B$30=FALSE))&gt;0))&gt;0),(((SUMPRODUCT((Cronograma!K$2:K$30=$A7)*1)=0)*NOT(SUMPRODUCT((Cronograma!J$2:J$30=$A7)*(Cronograma!$B$2:$B$30=TRUE))&gt;0))+((SUMPRODUCT((Cronograma!K$2:K$30=$A7)*1)=0)*NOT(SUMPRODUCT((Cronograma!L$2:L$30=$A7)*(Cronograma!$B$2:$B$30=FALSE))&gt;0))&gt;0),(((SUMPRODUCT((Cronograma!L$2:L$30=$A7)*1)=0)*NOT(SUMPRODUCT((Cronograma!K$2:K$30=$A7)*(Cronograma!$B$2:$B$30=TRUE))&gt;0))+((SUMPRODUCT((Cronograma!L$2:L$30=$A7)*1)=0)*NOT(SUMPRODUCT((Cronograma!M$2:M$30=$A7)*(Cronograma!$B$2:$B$30=FALSE))&gt;0))&gt;0),(((SUMPRODUCT((Cronograma!M$2:M$30=$A7)*1)=0)*NOT(SUMPRODUCT((Cronograma!L$2:L$30=$A7)*(Cronograma!$B$2:$B$30=TRUE))&gt;0))+((SUMPRODUCT((Cronograma!M$2:M$30=$A7)*1)=0)*NOT(SUMPRODUCT((Cronograma!N$2:N$30=$A7)*(Cronograma!$B$2:$B$30=FALSE))&gt;0))&gt;0),(((SUMPRODUCT((Cronograma!N$2:N$30=$A7)*1)=0)*NOT(SUMPRODUCT((Cronograma!M$2:M$30=$A7)*(Cronograma!$B$2:$B$30=TRUE))&gt;0))+((SUMPRODUCT((Cronograma!N$2:N$30=$A7)*1)=0)*NOT(SUMPRODUCT((Cronograma!O$2:O$30=$A7)*(Cronograma!$B$2:$B$30=FALSE))&gt;0))&gt;0),(((SUMPRODUCT((Cronograma!O$2:O$30=$A7)*1)=0)*NOT(SUMPRODUCT((Cronograma!N$2:N$30=$A7)*(Cronograma!$B$2:$B$30=TRUE))&gt;0))+((SUMPRODUCT((Cronograma!O$2:O$30=$A7)*1)=0)*NOT(SUMPRODUCT((Cronograma!P$2:P$30=$A7)*(Cronograma!$B$2:$B$30=FALSE))&gt;0))&gt;0),(((SUMPRODUCT((Cronograma!P$2:P$30=$A7)*1)=0)*NOT(SUMPRODUCT((Cronograma!O$2:O$30=$A7)*(Cronograma!$B$2:$B$30=TRUE))&gt;0))+((SUMPRODUCT((Cronograma!P$2:P$30=$A7)*1)=0)*NOT(SUMPRODUCT((Cronograma!Q$2:Q$30=$A7)*(Cronograma!$B$2:$B$30=FALSE))&gt;0))&gt;0),((SUMPRODUCT((Cronograma!Q$2:Q$30=$A7)*1)=0)*NOT(SUMPRODUCT((Cronograma!P$2:P$30=$A7)*(Cronograma!$B$2:$B$30=TRUE))&gt;0)))</f>
        <v>0</v>
      </c>
      <c r="E7" cm="1">
        <f t="array" ref="E7">_xlfn.XLOOKUP("Diana Carolina Molina",Cronograma!C2:C30,Cronograma!A2:A30,"")</f>
        <v>0</v>
      </c>
      <c r="F7" cm="1">
        <f t="array" ref="F7">_xlfn.XLOOKUP("Diana Carolina Molina",Cronograma!D2:D30,Cronograma!A2:A30,"")</f>
        <v>0</v>
      </c>
      <c r="G7" cm="1">
        <f t="array" ref="G7">_xlfn.XLOOKUP("Diana Carolina Molina",Cronograma!E2:E30,Cronograma!A2:A30,"")</f>
        <v>0</v>
      </c>
      <c r="H7" cm="1">
        <f t="array" ref="H7">_xlfn.XLOOKUP("Diana Carolina Molina",Cronograma!F2:F30,Cronograma!A2:A30,"")</f>
        <v>0</v>
      </c>
      <c r="I7" cm="1">
        <f t="array" ref="I7">_xlfn.XLOOKUP("Diana Carolina Molina",Cronograma!G2:G30,Cronograma!A2:A30,"")</f>
        <v>0</v>
      </c>
      <c r="J7" cm="1">
        <f t="array" ref="J7">_xlfn.XLOOKUP("Diana Carolina Molina",Cronograma!H2:H30,Cronograma!A2:A30,"")</f>
        <v>0</v>
      </c>
      <c r="K7" cm="1">
        <f t="array" ref="K7">_xlfn.XLOOKUP("Diana Carolina Molina",Cronograma!I2:I30,Cronograma!A2:A30,"")</f>
        <v>0</v>
      </c>
      <c r="L7" cm="1">
        <f t="array" ref="L7">_xlfn.XLOOKUP("Diana Carolina Molina",Cronograma!J2:J30,Cronograma!A2:A30,"")</f>
        <v>0</v>
      </c>
      <c r="M7" cm="1">
        <f t="array" ref="M7">_xlfn.XLOOKUP("Diana Carolina Molina",Cronograma!K2:K30,Cronograma!A2:A30,"")</f>
        <v>0</v>
      </c>
      <c r="N7" cm="1">
        <f t="array" ref="N7">_xlfn.XLOOKUP("Diana Carolina Molina",Cronograma!L2:L30,Cronograma!A2:A30,"")</f>
        <v>0</v>
      </c>
      <c r="O7" cm="1">
        <f t="array" ref="O7">_xlfn.XLOOKUP("Diana Carolina Molina",Cronograma!M2:M30,Cronograma!A2:A30,"")</f>
        <v>0</v>
      </c>
      <c r="P7" cm="1">
        <f t="array" ref="P7">_xlfn.XLOOKUP("Diana Carolina Molina",Cronograma!N2:N30,Cronograma!A2:A30,"")</f>
        <v>0</v>
      </c>
      <c r="Q7" cm="1">
        <f t="array" ref="Q7">_xlfn.XLOOKUP("Diana Carolina Molina",Cronograma!O2:O30,Cronograma!A2:A30,"")</f>
        <v>0</v>
      </c>
      <c r="R7" cm="1">
        <f t="array" ref="R7">_xlfn.XLOOKUP("Diana Carolina Molina",Cronograma!P2:P30,Cronograma!A2:A30,"")</f>
        <v>0</v>
      </c>
      <c r="S7" cm="1">
        <f t="array" ref="S7">_xlfn.XLOOKUP("Diana Carolina Molina",Cronograma!Q2:Q30,Cronograma!A2:A30,"")</f>
        <v>0</v>
      </c>
    </row>
    <row r="8" spans="1:19">
      <c r="A8" t="s">
        <v>33</v>
      </c>
      <c r="B8">
        <f>SUMPRODUCT((Cronograma!B2:B30=FALSE) * (COUNTIF(E8:S8, Cronograma!A2:A30)))</f>
        <v>0</v>
      </c>
      <c r="C8">
        <f>SUMPRODUCT((Cronograma!B2:B30=TRUE) * (COUNTIF(E8:S8, Cronograma!A2:A30)))</f>
        <v>0</v>
      </c>
      <c r="D8">
        <f>SUM(((SUMPRODUCT((Cronograma!C$2:C$30=$A8)*1)=0)*NOT(SUMPRODUCT((Cronograma!D$2:D$30=$A8)*(Cronograma!$B$2:$B$30=FALSE))&gt;0)),(((SUMPRODUCT((Cronograma!D$2:D$30=$A8)*1)=0)*NOT(SUMPRODUCT((Cronograma!C$2:C$30=$A8)*(Cronograma!$B$2:$B$30=TRUE))&gt;0))+((SUMPRODUCT((Cronograma!D$2:D$30=$A8)*1)=0)*NOT(SUMPRODUCT((Cronograma!E$2:E$30=$A8)*(Cronograma!$B$2:$B$30=FALSE))&gt;0))&gt;0),(((SUMPRODUCT((Cronograma!E$2:E$30=$A8)*1)=0)*NOT(SUMPRODUCT((Cronograma!D$2:D$30=$A8)*(Cronograma!$B$2:$B$30=TRUE))&gt;0))+((SUMPRODUCT((Cronograma!E$2:E$30=$A8)*1)=0)*NOT(SUMPRODUCT((Cronograma!F$2:F$30=$A8)*(Cronograma!$B$2:$B$30=FALSE))&gt;0))&gt;0),(((SUMPRODUCT((Cronograma!F$2:F$30=$A8)*1)=0)*NOT(SUMPRODUCT((Cronograma!E$2:E$30=$A8)*(Cronograma!$B$2:$B$30=TRUE))&gt;0))+((SUMPRODUCT((Cronograma!F$2:F$30=$A8)*1)=0)*NOT(SUMPRODUCT((Cronograma!G$2:G$30=$A8)*(Cronograma!$B$2:$B$30=FALSE))&gt;0))&gt;0),(((SUMPRODUCT((Cronograma!G$2:G$30=$A8)*1)=0)*NOT(SUMPRODUCT((Cronograma!F$2:F$30=$A8)*(Cronograma!$B$2:$B$30=TRUE))&gt;0))+((SUMPRODUCT((Cronograma!G$2:G$30=$A8)*1)=0)*NOT(SUMPRODUCT((Cronograma!H$2:H$30=$A8)*(Cronograma!$B$2:$B$30=FALSE))&gt;0))&gt;0),(((SUMPRODUCT((Cronograma!H$2:H$30=$A8)*1)=0)*NOT(SUMPRODUCT((Cronograma!G$2:G$30=$A8)*(Cronograma!$B$2:$B$30=TRUE))&gt;0))+((SUMPRODUCT((Cronograma!H$2:H$30=$A8)*1)=0)*NOT(SUMPRODUCT((Cronograma!I$2:I$30=$A8)*(Cronograma!$B$2:$B$30=FALSE))&gt;0))&gt;0),(((SUMPRODUCT((Cronograma!I$2:I$30=$A8)*1)=0)*NOT(SUMPRODUCT((Cronograma!H$2:H$30=$A8)*(Cronograma!$B$2:$B$30=TRUE))&gt;0))+((SUMPRODUCT((Cronograma!I$2:I$30=$A8)*1)=0)*NOT(SUMPRODUCT((Cronograma!J$2:J$30=$A8)*(Cronograma!$B$2:$B$30=FALSE))&gt;0))&gt;0),(((SUMPRODUCT((Cronograma!J$2:J$30=$A8)*1)=0)*NOT(SUMPRODUCT((Cronograma!I$2:I$30=$A8)*(Cronograma!$B$2:$B$30=TRUE))&gt;0))+((SUMPRODUCT((Cronograma!J$2:J$30=$A8)*1)=0)*NOT(SUMPRODUCT((Cronograma!K$2:K$30=$A8)*(Cronograma!$B$2:$B$30=FALSE))&gt;0))&gt;0),(((SUMPRODUCT((Cronograma!K$2:K$30=$A8)*1)=0)*NOT(SUMPRODUCT((Cronograma!J$2:J$30=$A8)*(Cronograma!$B$2:$B$30=TRUE))&gt;0))+((SUMPRODUCT((Cronograma!K$2:K$30=$A8)*1)=0)*NOT(SUMPRODUCT((Cronograma!L$2:L$30=$A8)*(Cronograma!$B$2:$B$30=FALSE))&gt;0))&gt;0),(((SUMPRODUCT((Cronograma!L$2:L$30=$A8)*1)=0)*NOT(SUMPRODUCT((Cronograma!K$2:K$30=$A8)*(Cronograma!$B$2:$B$30=TRUE))&gt;0))+((SUMPRODUCT((Cronograma!L$2:L$30=$A8)*1)=0)*NOT(SUMPRODUCT((Cronograma!M$2:M$30=$A8)*(Cronograma!$B$2:$B$30=FALSE))&gt;0))&gt;0),(((SUMPRODUCT((Cronograma!M$2:M$30=$A8)*1)=0)*NOT(SUMPRODUCT((Cronograma!L$2:L$30=$A8)*(Cronograma!$B$2:$B$30=TRUE))&gt;0))+((SUMPRODUCT((Cronograma!M$2:M$30=$A8)*1)=0)*NOT(SUMPRODUCT((Cronograma!N$2:N$30=$A8)*(Cronograma!$B$2:$B$30=FALSE))&gt;0))&gt;0),(((SUMPRODUCT((Cronograma!N$2:N$30=$A8)*1)=0)*NOT(SUMPRODUCT((Cronograma!M$2:M$30=$A8)*(Cronograma!$B$2:$B$30=TRUE))&gt;0))+((SUMPRODUCT((Cronograma!N$2:N$30=$A8)*1)=0)*NOT(SUMPRODUCT((Cronograma!O$2:O$30=$A8)*(Cronograma!$B$2:$B$30=FALSE))&gt;0))&gt;0),(((SUMPRODUCT((Cronograma!O$2:O$30=$A8)*1)=0)*NOT(SUMPRODUCT((Cronograma!N$2:N$30=$A8)*(Cronograma!$B$2:$B$30=TRUE))&gt;0))+((SUMPRODUCT((Cronograma!O$2:O$30=$A8)*1)=0)*NOT(SUMPRODUCT((Cronograma!P$2:P$30=$A8)*(Cronograma!$B$2:$B$30=FALSE))&gt;0))&gt;0),(((SUMPRODUCT((Cronograma!P$2:P$30=$A8)*1)=0)*NOT(SUMPRODUCT((Cronograma!O$2:O$30=$A8)*(Cronograma!$B$2:$B$30=TRUE))&gt;0))+((SUMPRODUCT((Cronograma!P$2:P$30=$A8)*1)=0)*NOT(SUMPRODUCT((Cronograma!Q$2:Q$30=$A8)*(Cronograma!$B$2:$B$30=FALSE))&gt;0))&gt;0),((SUMPRODUCT((Cronograma!Q$2:Q$30=$A8)*1)=0)*NOT(SUMPRODUCT((Cronograma!P$2:P$30=$A8)*(Cronograma!$B$2:$B$30=TRUE))&gt;0)))</f>
        <v>0</v>
      </c>
      <c r="E8" cm="1">
        <f t="array" ref="E8">_xlfn.XLOOKUP("Efigenia",Cronograma!C2:C30,Cronograma!A2:A30,"")</f>
        <v>0</v>
      </c>
      <c r="F8" cm="1">
        <f t="array" ref="F8">_xlfn.XLOOKUP("Efigenia",Cronograma!D2:D30,Cronograma!A2:A30,"")</f>
        <v>0</v>
      </c>
      <c r="G8" cm="1">
        <f t="array" ref="G8">_xlfn.XLOOKUP("Efigenia",Cronograma!E2:E30,Cronograma!A2:A30,"")</f>
        <v>0</v>
      </c>
      <c r="H8" cm="1">
        <f t="array" ref="H8">_xlfn.XLOOKUP("Efigenia",Cronograma!F2:F30,Cronograma!A2:A30,"")</f>
        <v>0</v>
      </c>
      <c r="I8" cm="1">
        <f t="array" ref="I8">_xlfn.XLOOKUP("Efigenia",Cronograma!G2:G30,Cronograma!A2:A30,"")</f>
        <v>0</v>
      </c>
      <c r="J8" cm="1">
        <f t="array" ref="J8">_xlfn.XLOOKUP("Efigenia",Cronograma!H2:H30,Cronograma!A2:A30,"")</f>
        <v>0</v>
      </c>
      <c r="K8" cm="1">
        <f t="array" ref="K8">_xlfn.XLOOKUP("Efigenia",Cronograma!I2:I30,Cronograma!A2:A30,"")</f>
        <v>0</v>
      </c>
      <c r="L8" cm="1">
        <f t="array" ref="L8">_xlfn.XLOOKUP("Efigenia",Cronograma!J2:J30,Cronograma!A2:A30,"")</f>
        <v>0</v>
      </c>
      <c r="M8" cm="1">
        <f t="array" ref="M8">_xlfn.XLOOKUP("Efigenia",Cronograma!K2:K30,Cronograma!A2:A30,"")</f>
        <v>0</v>
      </c>
      <c r="N8" cm="1">
        <f t="array" ref="N8">_xlfn.XLOOKUP("Efigenia",Cronograma!L2:L30,Cronograma!A2:A30,"")</f>
        <v>0</v>
      </c>
      <c r="O8" cm="1">
        <f t="array" ref="O8">_xlfn.XLOOKUP("Efigenia",Cronograma!M2:M30,Cronograma!A2:A30,"")</f>
        <v>0</v>
      </c>
      <c r="P8" cm="1">
        <f t="array" ref="P8">_xlfn.XLOOKUP("Efigenia",Cronograma!N2:N30,Cronograma!A2:A30,"")</f>
        <v>0</v>
      </c>
      <c r="Q8" cm="1">
        <f t="array" ref="Q8">_xlfn.XLOOKUP("Efigenia",Cronograma!O2:O30,Cronograma!A2:A30,"")</f>
        <v>0</v>
      </c>
      <c r="R8" cm="1">
        <f t="array" ref="R8">_xlfn.XLOOKUP("Efigenia",Cronograma!P2:P30,Cronograma!A2:A30,"")</f>
        <v>0</v>
      </c>
      <c r="S8" cm="1">
        <f t="array" ref="S8">_xlfn.XLOOKUP("Efigenia",Cronograma!Q2:Q30,Cronograma!A2:A30,"")</f>
        <v>0</v>
      </c>
    </row>
    <row r="9" spans="1:19">
      <c r="A9" t="s">
        <v>50</v>
      </c>
      <c r="B9">
        <f>SUMPRODUCT((Cronograma!B2:B30=FALSE) * (COUNTIF(E9:S9, Cronograma!A2:A30)))</f>
        <v>0</v>
      </c>
      <c r="C9">
        <f>SUMPRODUCT((Cronograma!B2:B30=TRUE) * (COUNTIF(E9:S9, Cronograma!A2:A30)))</f>
        <v>0</v>
      </c>
      <c r="D9">
        <f>SUM(((SUMPRODUCT((Cronograma!C$2:C$30=$A9)*1)=0)*NOT(SUMPRODUCT((Cronograma!D$2:D$30=$A9)*(Cronograma!$B$2:$B$30=FALSE))&gt;0)),(((SUMPRODUCT((Cronograma!D$2:D$30=$A9)*1)=0)*NOT(SUMPRODUCT((Cronograma!C$2:C$30=$A9)*(Cronograma!$B$2:$B$30=TRUE))&gt;0))+((SUMPRODUCT((Cronograma!D$2:D$30=$A9)*1)=0)*NOT(SUMPRODUCT((Cronograma!E$2:E$30=$A9)*(Cronograma!$B$2:$B$30=FALSE))&gt;0))&gt;0),(((SUMPRODUCT((Cronograma!E$2:E$30=$A9)*1)=0)*NOT(SUMPRODUCT((Cronograma!D$2:D$30=$A9)*(Cronograma!$B$2:$B$30=TRUE))&gt;0))+((SUMPRODUCT((Cronograma!E$2:E$30=$A9)*1)=0)*NOT(SUMPRODUCT((Cronograma!F$2:F$30=$A9)*(Cronograma!$B$2:$B$30=FALSE))&gt;0))&gt;0),(((SUMPRODUCT((Cronograma!F$2:F$30=$A9)*1)=0)*NOT(SUMPRODUCT((Cronograma!E$2:E$30=$A9)*(Cronograma!$B$2:$B$30=TRUE))&gt;0))+((SUMPRODUCT((Cronograma!F$2:F$30=$A9)*1)=0)*NOT(SUMPRODUCT((Cronograma!G$2:G$30=$A9)*(Cronograma!$B$2:$B$30=FALSE))&gt;0))&gt;0),(((SUMPRODUCT((Cronograma!G$2:G$30=$A9)*1)=0)*NOT(SUMPRODUCT((Cronograma!F$2:F$30=$A9)*(Cronograma!$B$2:$B$30=TRUE))&gt;0))+((SUMPRODUCT((Cronograma!G$2:G$30=$A9)*1)=0)*NOT(SUMPRODUCT((Cronograma!H$2:H$30=$A9)*(Cronograma!$B$2:$B$30=FALSE))&gt;0))&gt;0),(((SUMPRODUCT((Cronograma!H$2:H$30=$A9)*1)=0)*NOT(SUMPRODUCT((Cronograma!G$2:G$30=$A9)*(Cronograma!$B$2:$B$30=TRUE))&gt;0))+((SUMPRODUCT((Cronograma!H$2:H$30=$A9)*1)=0)*NOT(SUMPRODUCT((Cronograma!I$2:I$30=$A9)*(Cronograma!$B$2:$B$30=FALSE))&gt;0))&gt;0),(((SUMPRODUCT((Cronograma!I$2:I$30=$A9)*1)=0)*NOT(SUMPRODUCT((Cronograma!H$2:H$30=$A9)*(Cronograma!$B$2:$B$30=TRUE))&gt;0))+((SUMPRODUCT((Cronograma!I$2:I$30=$A9)*1)=0)*NOT(SUMPRODUCT((Cronograma!J$2:J$30=$A9)*(Cronograma!$B$2:$B$30=FALSE))&gt;0))&gt;0),(((SUMPRODUCT((Cronograma!J$2:J$30=$A9)*1)=0)*NOT(SUMPRODUCT((Cronograma!I$2:I$30=$A9)*(Cronograma!$B$2:$B$30=TRUE))&gt;0))+((SUMPRODUCT((Cronograma!J$2:J$30=$A9)*1)=0)*NOT(SUMPRODUCT((Cronograma!K$2:K$30=$A9)*(Cronograma!$B$2:$B$30=FALSE))&gt;0))&gt;0),(((SUMPRODUCT((Cronograma!K$2:K$30=$A9)*1)=0)*NOT(SUMPRODUCT((Cronograma!J$2:J$30=$A9)*(Cronograma!$B$2:$B$30=TRUE))&gt;0))+((SUMPRODUCT((Cronograma!K$2:K$30=$A9)*1)=0)*NOT(SUMPRODUCT((Cronograma!L$2:L$30=$A9)*(Cronograma!$B$2:$B$30=FALSE))&gt;0))&gt;0),(((SUMPRODUCT((Cronograma!L$2:L$30=$A9)*1)=0)*NOT(SUMPRODUCT((Cronograma!K$2:K$30=$A9)*(Cronograma!$B$2:$B$30=TRUE))&gt;0))+((SUMPRODUCT((Cronograma!L$2:L$30=$A9)*1)=0)*NOT(SUMPRODUCT((Cronograma!M$2:M$30=$A9)*(Cronograma!$B$2:$B$30=FALSE))&gt;0))&gt;0),(((SUMPRODUCT((Cronograma!M$2:M$30=$A9)*1)=0)*NOT(SUMPRODUCT((Cronograma!L$2:L$30=$A9)*(Cronograma!$B$2:$B$30=TRUE))&gt;0))+((SUMPRODUCT((Cronograma!M$2:M$30=$A9)*1)=0)*NOT(SUMPRODUCT((Cronograma!N$2:N$30=$A9)*(Cronograma!$B$2:$B$30=FALSE))&gt;0))&gt;0),(((SUMPRODUCT((Cronograma!N$2:N$30=$A9)*1)=0)*NOT(SUMPRODUCT((Cronograma!M$2:M$30=$A9)*(Cronograma!$B$2:$B$30=TRUE))&gt;0))+((SUMPRODUCT((Cronograma!N$2:N$30=$A9)*1)=0)*NOT(SUMPRODUCT((Cronograma!O$2:O$30=$A9)*(Cronograma!$B$2:$B$30=FALSE))&gt;0))&gt;0),(((SUMPRODUCT((Cronograma!O$2:O$30=$A9)*1)=0)*NOT(SUMPRODUCT((Cronograma!N$2:N$30=$A9)*(Cronograma!$B$2:$B$30=TRUE))&gt;0))+((SUMPRODUCT((Cronograma!O$2:O$30=$A9)*1)=0)*NOT(SUMPRODUCT((Cronograma!P$2:P$30=$A9)*(Cronograma!$B$2:$B$30=FALSE))&gt;0))&gt;0),(((SUMPRODUCT((Cronograma!P$2:P$30=$A9)*1)=0)*NOT(SUMPRODUCT((Cronograma!O$2:O$30=$A9)*(Cronograma!$B$2:$B$30=TRUE))&gt;0))+((SUMPRODUCT((Cronograma!P$2:P$30=$A9)*1)=0)*NOT(SUMPRODUCT((Cronograma!Q$2:Q$30=$A9)*(Cronograma!$B$2:$B$30=FALSE))&gt;0))&gt;0),((SUMPRODUCT((Cronograma!Q$2:Q$30=$A9)*1)=0)*NOT(SUMPRODUCT((Cronograma!P$2:P$30=$A9)*(Cronograma!$B$2:$B$30=TRUE))&gt;0)))</f>
        <v>0</v>
      </c>
      <c r="E9" cm="1">
        <f t="array" ref="E9">_xlfn.XLOOKUP("Elisa Parra",Cronograma!C2:C30,Cronograma!A2:A30,"")</f>
        <v>0</v>
      </c>
      <c r="F9" cm="1">
        <f t="array" ref="F9">_xlfn.XLOOKUP("Elisa Parra",Cronograma!D2:D30,Cronograma!A2:A30,"")</f>
        <v>0</v>
      </c>
      <c r="G9" cm="1">
        <f t="array" ref="G9">_xlfn.XLOOKUP("Elisa Parra",Cronograma!E2:E30,Cronograma!A2:A30,"")</f>
        <v>0</v>
      </c>
      <c r="H9" cm="1">
        <f t="array" ref="H9">_xlfn.XLOOKUP("Elisa Parra",Cronograma!F2:F30,Cronograma!A2:A30,"")</f>
        <v>0</v>
      </c>
      <c r="I9" cm="1">
        <f t="array" ref="I9">_xlfn.XLOOKUP("Elisa Parra",Cronograma!G2:G30,Cronograma!A2:A30,"")</f>
        <v>0</v>
      </c>
      <c r="J9" cm="1">
        <f t="array" ref="J9">_xlfn.XLOOKUP("Elisa Parra",Cronograma!H2:H30,Cronograma!A2:A30,"")</f>
        <v>0</v>
      </c>
      <c r="K9" cm="1">
        <f t="array" ref="K9">_xlfn.XLOOKUP("Elisa Parra",Cronograma!I2:I30,Cronograma!A2:A30,"")</f>
        <v>0</v>
      </c>
      <c r="L9" cm="1">
        <f t="array" ref="L9">_xlfn.XLOOKUP("Elisa Parra",Cronograma!J2:J30,Cronograma!A2:A30,"")</f>
        <v>0</v>
      </c>
      <c r="M9" cm="1">
        <f t="array" ref="M9">_xlfn.XLOOKUP("Elisa Parra",Cronograma!K2:K30,Cronograma!A2:A30,"")</f>
        <v>0</v>
      </c>
      <c r="N9" cm="1">
        <f t="array" ref="N9">_xlfn.XLOOKUP("Elisa Parra",Cronograma!L2:L30,Cronograma!A2:A30,"")</f>
        <v>0</v>
      </c>
      <c r="O9" cm="1">
        <f t="array" ref="O9">_xlfn.XLOOKUP("Elisa Parra",Cronograma!M2:M30,Cronograma!A2:A30,"")</f>
        <v>0</v>
      </c>
      <c r="P9" cm="1">
        <f t="array" ref="P9">_xlfn.XLOOKUP("Elisa Parra",Cronograma!N2:N30,Cronograma!A2:A30,"")</f>
        <v>0</v>
      </c>
      <c r="Q9" cm="1">
        <f t="array" ref="Q9">_xlfn.XLOOKUP("Elisa Parra",Cronograma!O2:O30,Cronograma!A2:A30,"")</f>
        <v>0</v>
      </c>
      <c r="R9" cm="1">
        <f t="array" ref="R9">_xlfn.XLOOKUP("Elisa Parra",Cronograma!P2:P30,Cronograma!A2:A30,"")</f>
        <v>0</v>
      </c>
      <c r="S9" cm="1">
        <f t="array" ref="S9">_xlfn.XLOOKUP("Elisa Parra",Cronograma!Q2:Q30,Cronograma!A2:A30,"")</f>
        <v>0</v>
      </c>
    </row>
    <row r="10" spans="1:19">
      <c r="A10" t="s">
        <v>54</v>
      </c>
      <c r="B10">
        <f>SUMPRODUCT((Cronograma!B2:B30=FALSE) * (COUNTIF(E10:S10, Cronograma!A2:A30)))</f>
        <v>0</v>
      </c>
      <c r="C10">
        <f>SUMPRODUCT((Cronograma!B2:B30=TRUE) * (COUNTIF(E10:S10, Cronograma!A2:A30)))</f>
        <v>0</v>
      </c>
      <c r="D10">
        <f>SUM(((SUMPRODUCT((Cronograma!C$2:C$30=$A10)*1)=0)*NOT(SUMPRODUCT((Cronograma!D$2:D$30=$A10)*(Cronograma!$B$2:$B$30=FALSE))&gt;0)),(((SUMPRODUCT((Cronograma!D$2:D$30=$A10)*1)=0)*NOT(SUMPRODUCT((Cronograma!C$2:C$30=$A10)*(Cronograma!$B$2:$B$30=TRUE))&gt;0))+((SUMPRODUCT((Cronograma!D$2:D$30=$A10)*1)=0)*NOT(SUMPRODUCT((Cronograma!E$2:E$30=$A10)*(Cronograma!$B$2:$B$30=FALSE))&gt;0))&gt;0),(((SUMPRODUCT((Cronograma!E$2:E$30=$A10)*1)=0)*NOT(SUMPRODUCT((Cronograma!D$2:D$30=$A10)*(Cronograma!$B$2:$B$30=TRUE))&gt;0))+((SUMPRODUCT((Cronograma!E$2:E$30=$A10)*1)=0)*NOT(SUMPRODUCT((Cronograma!F$2:F$30=$A10)*(Cronograma!$B$2:$B$30=FALSE))&gt;0))&gt;0),(((SUMPRODUCT((Cronograma!F$2:F$30=$A10)*1)=0)*NOT(SUMPRODUCT((Cronograma!E$2:E$30=$A10)*(Cronograma!$B$2:$B$30=TRUE))&gt;0))+((SUMPRODUCT((Cronograma!F$2:F$30=$A10)*1)=0)*NOT(SUMPRODUCT((Cronograma!G$2:G$30=$A10)*(Cronograma!$B$2:$B$30=FALSE))&gt;0))&gt;0),(((SUMPRODUCT((Cronograma!G$2:G$30=$A10)*1)=0)*NOT(SUMPRODUCT((Cronograma!F$2:F$30=$A10)*(Cronograma!$B$2:$B$30=TRUE))&gt;0))+((SUMPRODUCT((Cronograma!G$2:G$30=$A10)*1)=0)*NOT(SUMPRODUCT((Cronograma!H$2:H$30=$A10)*(Cronograma!$B$2:$B$30=FALSE))&gt;0))&gt;0),(((SUMPRODUCT((Cronograma!H$2:H$30=$A10)*1)=0)*NOT(SUMPRODUCT((Cronograma!G$2:G$30=$A10)*(Cronograma!$B$2:$B$30=TRUE))&gt;0))+((SUMPRODUCT((Cronograma!H$2:H$30=$A10)*1)=0)*NOT(SUMPRODUCT((Cronograma!I$2:I$30=$A10)*(Cronograma!$B$2:$B$30=FALSE))&gt;0))&gt;0),(((SUMPRODUCT((Cronograma!I$2:I$30=$A10)*1)=0)*NOT(SUMPRODUCT((Cronograma!H$2:H$30=$A10)*(Cronograma!$B$2:$B$30=TRUE))&gt;0))+((SUMPRODUCT((Cronograma!I$2:I$30=$A10)*1)=0)*NOT(SUMPRODUCT((Cronograma!J$2:J$30=$A10)*(Cronograma!$B$2:$B$30=FALSE))&gt;0))&gt;0),(((SUMPRODUCT((Cronograma!J$2:J$30=$A10)*1)=0)*NOT(SUMPRODUCT((Cronograma!I$2:I$30=$A10)*(Cronograma!$B$2:$B$30=TRUE))&gt;0))+((SUMPRODUCT((Cronograma!J$2:J$30=$A10)*1)=0)*NOT(SUMPRODUCT((Cronograma!K$2:K$30=$A10)*(Cronograma!$B$2:$B$30=FALSE))&gt;0))&gt;0),(((SUMPRODUCT((Cronograma!K$2:K$30=$A10)*1)=0)*NOT(SUMPRODUCT((Cronograma!J$2:J$30=$A10)*(Cronograma!$B$2:$B$30=TRUE))&gt;0))+((SUMPRODUCT((Cronograma!K$2:K$30=$A10)*1)=0)*NOT(SUMPRODUCT((Cronograma!L$2:L$30=$A10)*(Cronograma!$B$2:$B$30=FALSE))&gt;0))&gt;0),(((SUMPRODUCT((Cronograma!L$2:L$30=$A10)*1)=0)*NOT(SUMPRODUCT((Cronograma!K$2:K$30=$A10)*(Cronograma!$B$2:$B$30=TRUE))&gt;0))+((SUMPRODUCT((Cronograma!L$2:L$30=$A10)*1)=0)*NOT(SUMPRODUCT((Cronograma!M$2:M$30=$A10)*(Cronograma!$B$2:$B$30=FALSE))&gt;0))&gt;0),(((SUMPRODUCT((Cronograma!M$2:M$30=$A10)*1)=0)*NOT(SUMPRODUCT((Cronograma!L$2:L$30=$A10)*(Cronograma!$B$2:$B$30=TRUE))&gt;0))+((SUMPRODUCT((Cronograma!M$2:M$30=$A10)*1)=0)*NOT(SUMPRODUCT((Cronograma!N$2:N$30=$A10)*(Cronograma!$B$2:$B$30=FALSE))&gt;0))&gt;0),(((SUMPRODUCT((Cronograma!N$2:N$30=$A10)*1)=0)*NOT(SUMPRODUCT((Cronograma!M$2:M$30=$A10)*(Cronograma!$B$2:$B$30=TRUE))&gt;0))+((SUMPRODUCT((Cronograma!N$2:N$30=$A10)*1)=0)*NOT(SUMPRODUCT((Cronograma!O$2:O$30=$A10)*(Cronograma!$B$2:$B$30=FALSE))&gt;0))&gt;0),(((SUMPRODUCT((Cronograma!O$2:O$30=$A10)*1)=0)*NOT(SUMPRODUCT((Cronograma!N$2:N$30=$A10)*(Cronograma!$B$2:$B$30=TRUE))&gt;0))+((SUMPRODUCT((Cronograma!O$2:O$30=$A10)*1)=0)*NOT(SUMPRODUCT((Cronograma!P$2:P$30=$A10)*(Cronograma!$B$2:$B$30=FALSE))&gt;0))&gt;0),(((SUMPRODUCT((Cronograma!P$2:P$30=$A10)*1)=0)*NOT(SUMPRODUCT((Cronograma!O$2:O$30=$A10)*(Cronograma!$B$2:$B$30=TRUE))&gt;0))+((SUMPRODUCT((Cronograma!P$2:P$30=$A10)*1)=0)*NOT(SUMPRODUCT((Cronograma!Q$2:Q$30=$A10)*(Cronograma!$B$2:$B$30=FALSE))&gt;0))&gt;0),((SUMPRODUCT((Cronograma!Q$2:Q$30=$A10)*1)=0)*NOT(SUMPRODUCT((Cronograma!P$2:P$30=$A10)*(Cronograma!$B$2:$B$30=TRUE))&gt;0)))</f>
        <v>0</v>
      </c>
      <c r="E10" cm="1">
        <f t="array" ref="E10">_xlfn.XLOOKUP("German Avila",Cronograma!C2:C30,Cronograma!A2:A30,"")</f>
        <v>0</v>
      </c>
      <c r="F10" cm="1">
        <f t="array" ref="F10">_xlfn.XLOOKUP("German Avila",Cronograma!D2:D30,Cronograma!A2:A30,"")</f>
        <v>0</v>
      </c>
      <c r="G10" cm="1">
        <f t="array" ref="G10">_xlfn.XLOOKUP("German Avila",Cronograma!E2:E30,Cronograma!A2:A30,"")</f>
        <v>0</v>
      </c>
      <c r="H10" cm="1">
        <f t="array" ref="H10">_xlfn.XLOOKUP("German Avila",Cronograma!F2:F30,Cronograma!A2:A30,"")</f>
        <v>0</v>
      </c>
      <c r="I10" cm="1">
        <f t="array" ref="I10">_xlfn.XLOOKUP("German Avila",Cronograma!G2:G30,Cronograma!A2:A30,"")</f>
        <v>0</v>
      </c>
      <c r="J10" cm="1">
        <f t="array" ref="J10">_xlfn.XLOOKUP("German Avila",Cronograma!H2:H30,Cronograma!A2:A30,"")</f>
        <v>0</v>
      </c>
      <c r="K10" cm="1">
        <f t="array" ref="K10">_xlfn.XLOOKUP("German Avila",Cronograma!I2:I30,Cronograma!A2:A30,"")</f>
        <v>0</v>
      </c>
      <c r="L10" cm="1">
        <f t="array" ref="L10">_xlfn.XLOOKUP("German Avila",Cronograma!J2:J30,Cronograma!A2:A30,"")</f>
        <v>0</v>
      </c>
      <c r="M10" cm="1">
        <f t="array" ref="M10">_xlfn.XLOOKUP("German Avila",Cronograma!K2:K30,Cronograma!A2:A30,"")</f>
        <v>0</v>
      </c>
      <c r="N10" cm="1">
        <f t="array" ref="N10">_xlfn.XLOOKUP("German Avila",Cronograma!L2:L30,Cronograma!A2:A30,"")</f>
        <v>0</v>
      </c>
      <c r="O10" cm="1">
        <f t="array" ref="O10">_xlfn.XLOOKUP("German Avila",Cronograma!M2:M30,Cronograma!A2:A30,"")</f>
        <v>0</v>
      </c>
      <c r="P10" cm="1">
        <f t="array" ref="P10">_xlfn.XLOOKUP("German Avila",Cronograma!N2:N30,Cronograma!A2:A30,"")</f>
        <v>0</v>
      </c>
      <c r="Q10" cm="1">
        <f t="array" ref="Q10">_xlfn.XLOOKUP("German Avila",Cronograma!O2:O30,Cronograma!A2:A30,"")</f>
        <v>0</v>
      </c>
      <c r="R10" cm="1">
        <f t="array" ref="R10">_xlfn.XLOOKUP("German Avila",Cronograma!P2:P30,Cronograma!A2:A30,"")</f>
        <v>0</v>
      </c>
      <c r="S10" cm="1">
        <f t="array" ref="S10">_xlfn.XLOOKUP("German Avila",Cronograma!Q2:Q30,Cronograma!A2:A30,"")</f>
        <v>0</v>
      </c>
    </row>
    <row r="11" spans="1:19">
      <c r="A11" t="s">
        <v>38</v>
      </c>
      <c r="B11">
        <f>SUMPRODUCT((Cronograma!B2:B30=FALSE) * (COUNTIF(E11:S11, Cronograma!A2:A30)))</f>
        <v>0</v>
      </c>
      <c r="C11">
        <f>SUMPRODUCT((Cronograma!B2:B30=TRUE) * (COUNTIF(E11:S11, Cronograma!A2:A30)))</f>
        <v>0</v>
      </c>
      <c r="D11">
        <f>SUM(((SUMPRODUCT((Cronograma!C$2:C$30=$A11)*1)=0)*NOT(SUMPRODUCT((Cronograma!D$2:D$30=$A11)*(Cronograma!$B$2:$B$30=FALSE))&gt;0)),(((SUMPRODUCT((Cronograma!D$2:D$30=$A11)*1)=0)*NOT(SUMPRODUCT((Cronograma!C$2:C$30=$A11)*(Cronograma!$B$2:$B$30=TRUE))&gt;0))+((SUMPRODUCT((Cronograma!D$2:D$30=$A11)*1)=0)*NOT(SUMPRODUCT((Cronograma!E$2:E$30=$A11)*(Cronograma!$B$2:$B$30=FALSE))&gt;0))&gt;0),(((SUMPRODUCT((Cronograma!E$2:E$30=$A11)*1)=0)*NOT(SUMPRODUCT((Cronograma!D$2:D$30=$A11)*(Cronograma!$B$2:$B$30=TRUE))&gt;0))+((SUMPRODUCT((Cronograma!E$2:E$30=$A11)*1)=0)*NOT(SUMPRODUCT((Cronograma!F$2:F$30=$A11)*(Cronograma!$B$2:$B$30=FALSE))&gt;0))&gt;0),(((SUMPRODUCT((Cronograma!F$2:F$30=$A11)*1)=0)*NOT(SUMPRODUCT((Cronograma!E$2:E$30=$A11)*(Cronograma!$B$2:$B$30=TRUE))&gt;0))+((SUMPRODUCT((Cronograma!F$2:F$30=$A11)*1)=0)*NOT(SUMPRODUCT((Cronograma!G$2:G$30=$A11)*(Cronograma!$B$2:$B$30=FALSE))&gt;0))&gt;0),(((SUMPRODUCT((Cronograma!G$2:G$30=$A11)*1)=0)*NOT(SUMPRODUCT((Cronograma!F$2:F$30=$A11)*(Cronograma!$B$2:$B$30=TRUE))&gt;0))+((SUMPRODUCT((Cronograma!G$2:G$30=$A11)*1)=0)*NOT(SUMPRODUCT((Cronograma!H$2:H$30=$A11)*(Cronograma!$B$2:$B$30=FALSE))&gt;0))&gt;0),(((SUMPRODUCT((Cronograma!H$2:H$30=$A11)*1)=0)*NOT(SUMPRODUCT((Cronograma!G$2:G$30=$A11)*(Cronograma!$B$2:$B$30=TRUE))&gt;0))+((SUMPRODUCT((Cronograma!H$2:H$30=$A11)*1)=0)*NOT(SUMPRODUCT((Cronograma!I$2:I$30=$A11)*(Cronograma!$B$2:$B$30=FALSE))&gt;0))&gt;0),(((SUMPRODUCT((Cronograma!I$2:I$30=$A11)*1)=0)*NOT(SUMPRODUCT((Cronograma!H$2:H$30=$A11)*(Cronograma!$B$2:$B$30=TRUE))&gt;0))+((SUMPRODUCT((Cronograma!I$2:I$30=$A11)*1)=0)*NOT(SUMPRODUCT((Cronograma!J$2:J$30=$A11)*(Cronograma!$B$2:$B$30=FALSE))&gt;0))&gt;0),(((SUMPRODUCT((Cronograma!J$2:J$30=$A11)*1)=0)*NOT(SUMPRODUCT((Cronograma!I$2:I$30=$A11)*(Cronograma!$B$2:$B$30=TRUE))&gt;0))+((SUMPRODUCT((Cronograma!J$2:J$30=$A11)*1)=0)*NOT(SUMPRODUCT((Cronograma!K$2:K$30=$A11)*(Cronograma!$B$2:$B$30=FALSE))&gt;0))&gt;0),(((SUMPRODUCT((Cronograma!K$2:K$30=$A11)*1)=0)*NOT(SUMPRODUCT((Cronograma!J$2:J$30=$A11)*(Cronograma!$B$2:$B$30=TRUE))&gt;0))+((SUMPRODUCT((Cronograma!K$2:K$30=$A11)*1)=0)*NOT(SUMPRODUCT((Cronograma!L$2:L$30=$A11)*(Cronograma!$B$2:$B$30=FALSE))&gt;0))&gt;0),(((SUMPRODUCT((Cronograma!L$2:L$30=$A11)*1)=0)*NOT(SUMPRODUCT((Cronograma!K$2:K$30=$A11)*(Cronograma!$B$2:$B$30=TRUE))&gt;0))+((SUMPRODUCT((Cronograma!L$2:L$30=$A11)*1)=0)*NOT(SUMPRODUCT((Cronograma!M$2:M$30=$A11)*(Cronograma!$B$2:$B$30=FALSE))&gt;0))&gt;0),(((SUMPRODUCT((Cronograma!M$2:M$30=$A11)*1)=0)*NOT(SUMPRODUCT((Cronograma!L$2:L$30=$A11)*(Cronograma!$B$2:$B$30=TRUE))&gt;0))+((SUMPRODUCT((Cronograma!M$2:M$30=$A11)*1)=0)*NOT(SUMPRODUCT((Cronograma!N$2:N$30=$A11)*(Cronograma!$B$2:$B$30=FALSE))&gt;0))&gt;0),(((SUMPRODUCT((Cronograma!N$2:N$30=$A11)*1)=0)*NOT(SUMPRODUCT((Cronograma!M$2:M$30=$A11)*(Cronograma!$B$2:$B$30=TRUE))&gt;0))+((SUMPRODUCT((Cronograma!N$2:N$30=$A11)*1)=0)*NOT(SUMPRODUCT((Cronograma!O$2:O$30=$A11)*(Cronograma!$B$2:$B$30=FALSE))&gt;0))&gt;0),(((SUMPRODUCT((Cronograma!O$2:O$30=$A11)*1)=0)*NOT(SUMPRODUCT((Cronograma!N$2:N$30=$A11)*(Cronograma!$B$2:$B$30=TRUE))&gt;0))+((SUMPRODUCT((Cronograma!O$2:O$30=$A11)*1)=0)*NOT(SUMPRODUCT((Cronograma!P$2:P$30=$A11)*(Cronograma!$B$2:$B$30=FALSE))&gt;0))&gt;0),(((SUMPRODUCT((Cronograma!P$2:P$30=$A11)*1)=0)*NOT(SUMPRODUCT((Cronograma!O$2:O$30=$A11)*(Cronograma!$B$2:$B$30=TRUE))&gt;0))+((SUMPRODUCT((Cronograma!P$2:P$30=$A11)*1)=0)*NOT(SUMPRODUCT((Cronograma!Q$2:Q$30=$A11)*(Cronograma!$B$2:$B$30=FALSE))&gt;0))&gt;0),((SUMPRODUCT((Cronograma!Q$2:Q$30=$A11)*1)=0)*NOT(SUMPRODUCT((Cronograma!P$2:P$30=$A11)*(Cronograma!$B$2:$B$30=TRUE))&gt;0)))</f>
        <v>0</v>
      </c>
      <c r="E11" cm="1">
        <f t="array" ref="E11">_xlfn.XLOOKUP("Gisela",Cronograma!C2:C30,Cronograma!A2:A30,"")</f>
        <v>0</v>
      </c>
      <c r="F11" cm="1">
        <f t="array" ref="F11">_xlfn.XLOOKUP("Gisela",Cronograma!D2:D30,Cronograma!A2:A30,"")</f>
        <v>0</v>
      </c>
      <c r="G11" cm="1">
        <f t="array" ref="G11">_xlfn.XLOOKUP("Gisela",Cronograma!E2:E30,Cronograma!A2:A30,"")</f>
        <v>0</v>
      </c>
      <c r="H11" cm="1">
        <f t="array" ref="H11">_xlfn.XLOOKUP("Gisela",Cronograma!F2:F30,Cronograma!A2:A30,"")</f>
        <v>0</v>
      </c>
      <c r="I11" cm="1">
        <f t="array" ref="I11">_xlfn.XLOOKUP("Gisela",Cronograma!G2:G30,Cronograma!A2:A30,"")</f>
        <v>0</v>
      </c>
      <c r="J11" cm="1">
        <f t="array" ref="J11">_xlfn.XLOOKUP("Gisela",Cronograma!H2:H30,Cronograma!A2:A30,"")</f>
        <v>0</v>
      </c>
      <c r="K11" cm="1">
        <f t="array" ref="K11">_xlfn.XLOOKUP("Gisela",Cronograma!I2:I30,Cronograma!A2:A30,"")</f>
        <v>0</v>
      </c>
      <c r="L11" cm="1">
        <f t="array" ref="L11">_xlfn.XLOOKUP("Gisela",Cronograma!J2:J30,Cronograma!A2:A30,"")</f>
        <v>0</v>
      </c>
      <c r="M11" cm="1">
        <f t="array" ref="M11">_xlfn.XLOOKUP("Gisela",Cronograma!K2:K30,Cronograma!A2:A30,"")</f>
        <v>0</v>
      </c>
      <c r="N11" cm="1">
        <f t="array" ref="N11">_xlfn.XLOOKUP("Gisela",Cronograma!L2:L30,Cronograma!A2:A30,"")</f>
        <v>0</v>
      </c>
      <c r="O11" cm="1">
        <f t="array" ref="O11">_xlfn.XLOOKUP("Gisela",Cronograma!M2:M30,Cronograma!A2:A30,"")</f>
        <v>0</v>
      </c>
      <c r="P11" cm="1">
        <f t="array" ref="P11">_xlfn.XLOOKUP("Gisela",Cronograma!N2:N30,Cronograma!A2:A30,"")</f>
        <v>0</v>
      </c>
      <c r="Q11" cm="1">
        <f t="array" ref="Q11">_xlfn.XLOOKUP("Gisela",Cronograma!O2:O30,Cronograma!A2:A30,"")</f>
        <v>0</v>
      </c>
      <c r="R11" cm="1">
        <f t="array" ref="R11">_xlfn.XLOOKUP("Gisela",Cronograma!P2:P30,Cronograma!A2:A30,"")</f>
        <v>0</v>
      </c>
      <c r="S11" cm="1">
        <f t="array" ref="S11">_xlfn.XLOOKUP("Gisela",Cronograma!Q2:Q30,Cronograma!A2:A30,"")</f>
        <v>0</v>
      </c>
    </row>
    <row r="12" spans="1:19">
      <c r="A12" t="s">
        <v>60</v>
      </c>
      <c r="B12">
        <f>SUMPRODUCT((Cronograma!B2:B30=FALSE) * (COUNTIF(E12:S12, Cronograma!A2:A30)))</f>
        <v>0</v>
      </c>
      <c r="C12">
        <f>SUMPRODUCT((Cronograma!B2:B30=TRUE) * (COUNTIF(E12:S12, Cronograma!A2:A30)))</f>
        <v>0</v>
      </c>
      <c r="D12">
        <f>SUM(((SUMPRODUCT((Cronograma!C$2:C$30=$A12)*1)=0)*NOT(SUMPRODUCT((Cronograma!D$2:D$30=$A12)*(Cronograma!$B$2:$B$30=FALSE))&gt;0)),(((SUMPRODUCT((Cronograma!D$2:D$30=$A12)*1)=0)*NOT(SUMPRODUCT((Cronograma!C$2:C$30=$A12)*(Cronograma!$B$2:$B$30=TRUE))&gt;0))+((SUMPRODUCT((Cronograma!D$2:D$30=$A12)*1)=0)*NOT(SUMPRODUCT((Cronograma!E$2:E$30=$A12)*(Cronograma!$B$2:$B$30=FALSE))&gt;0))&gt;0),(((SUMPRODUCT((Cronograma!E$2:E$30=$A12)*1)=0)*NOT(SUMPRODUCT((Cronograma!D$2:D$30=$A12)*(Cronograma!$B$2:$B$30=TRUE))&gt;0))+((SUMPRODUCT((Cronograma!E$2:E$30=$A12)*1)=0)*NOT(SUMPRODUCT((Cronograma!F$2:F$30=$A12)*(Cronograma!$B$2:$B$30=FALSE))&gt;0))&gt;0),(((SUMPRODUCT((Cronograma!F$2:F$30=$A12)*1)=0)*NOT(SUMPRODUCT((Cronograma!E$2:E$30=$A12)*(Cronograma!$B$2:$B$30=TRUE))&gt;0))+((SUMPRODUCT((Cronograma!F$2:F$30=$A12)*1)=0)*NOT(SUMPRODUCT((Cronograma!G$2:G$30=$A12)*(Cronograma!$B$2:$B$30=FALSE))&gt;0))&gt;0),(((SUMPRODUCT((Cronograma!G$2:G$30=$A12)*1)=0)*NOT(SUMPRODUCT((Cronograma!F$2:F$30=$A12)*(Cronograma!$B$2:$B$30=TRUE))&gt;0))+((SUMPRODUCT((Cronograma!G$2:G$30=$A12)*1)=0)*NOT(SUMPRODUCT((Cronograma!H$2:H$30=$A12)*(Cronograma!$B$2:$B$30=FALSE))&gt;0))&gt;0),(((SUMPRODUCT((Cronograma!H$2:H$30=$A12)*1)=0)*NOT(SUMPRODUCT((Cronograma!G$2:G$30=$A12)*(Cronograma!$B$2:$B$30=TRUE))&gt;0))+((SUMPRODUCT((Cronograma!H$2:H$30=$A12)*1)=0)*NOT(SUMPRODUCT((Cronograma!I$2:I$30=$A12)*(Cronograma!$B$2:$B$30=FALSE))&gt;0))&gt;0),(((SUMPRODUCT((Cronograma!I$2:I$30=$A12)*1)=0)*NOT(SUMPRODUCT((Cronograma!H$2:H$30=$A12)*(Cronograma!$B$2:$B$30=TRUE))&gt;0))+((SUMPRODUCT((Cronograma!I$2:I$30=$A12)*1)=0)*NOT(SUMPRODUCT((Cronograma!J$2:J$30=$A12)*(Cronograma!$B$2:$B$30=FALSE))&gt;0))&gt;0),(((SUMPRODUCT((Cronograma!J$2:J$30=$A12)*1)=0)*NOT(SUMPRODUCT((Cronograma!I$2:I$30=$A12)*(Cronograma!$B$2:$B$30=TRUE))&gt;0))+((SUMPRODUCT((Cronograma!J$2:J$30=$A12)*1)=0)*NOT(SUMPRODUCT((Cronograma!K$2:K$30=$A12)*(Cronograma!$B$2:$B$30=FALSE))&gt;0))&gt;0),(((SUMPRODUCT((Cronograma!K$2:K$30=$A12)*1)=0)*NOT(SUMPRODUCT((Cronograma!J$2:J$30=$A12)*(Cronograma!$B$2:$B$30=TRUE))&gt;0))+((SUMPRODUCT((Cronograma!K$2:K$30=$A12)*1)=0)*NOT(SUMPRODUCT((Cronograma!L$2:L$30=$A12)*(Cronograma!$B$2:$B$30=FALSE))&gt;0))&gt;0),(((SUMPRODUCT((Cronograma!L$2:L$30=$A12)*1)=0)*NOT(SUMPRODUCT((Cronograma!K$2:K$30=$A12)*(Cronograma!$B$2:$B$30=TRUE))&gt;0))+((SUMPRODUCT((Cronograma!L$2:L$30=$A12)*1)=0)*NOT(SUMPRODUCT((Cronograma!M$2:M$30=$A12)*(Cronograma!$B$2:$B$30=FALSE))&gt;0))&gt;0),(((SUMPRODUCT((Cronograma!M$2:M$30=$A12)*1)=0)*NOT(SUMPRODUCT((Cronograma!L$2:L$30=$A12)*(Cronograma!$B$2:$B$30=TRUE))&gt;0))+((SUMPRODUCT((Cronograma!M$2:M$30=$A12)*1)=0)*NOT(SUMPRODUCT((Cronograma!N$2:N$30=$A12)*(Cronograma!$B$2:$B$30=FALSE))&gt;0))&gt;0),(((SUMPRODUCT((Cronograma!N$2:N$30=$A12)*1)=0)*NOT(SUMPRODUCT((Cronograma!M$2:M$30=$A12)*(Cronograma!$B$2:$B$30=TRUE))&gt;0))+((SUMPRODUCT((Cronograma!N$2:N$30=$A12)*1)=0)*NOT(SUMPRODUCT((Cronograma!O$2:O$30=$A12)*(Cronograma!$B$2:$B$30=FALSE))&gt;0))&gt;0),(((SUMPRODUCT((Cronograma!O$2:O$30=$A12)*1)=0)*NOT(SUMPRODUCT((Cronograma!N$2:N$30=$A12)*(Cronograma!$B$2:$B$30=TRUE))&gt;0))+((SUMPRODUCT((Cronograma!O$2:O$30=$A12)*1)=0)*NOT(SUMPRODUCT((Cronograma!P$2:P$30=$A12)*(Cronograma!$B$2:$B$30=FALSE))&gt;0))&gt;0),(((SUMPRODUCT((Cronograma!P$2:P$30=$A12)*1)=0)*NOT(SUMPRODUCT((Cronograma!O$2:O$30=$A12)*(Cronograma!$B$2:$B$30=TRUE))&gt;0))+((SUMPRODUCT((Cronograma!P$2:P$30=$A12)*1)=0)*NOT(SUMPRODUCT((Cronograma!Q$2:Q$30=$A12)*(Cronograma!$B$2:$B$30=FALSE))&gt;0))&gt;0),((SUMPRODUCT((Cronograma!Q$2:Q$30=$A12)*1)=0)*NOT(SUMPRODUCT((Cronograma!P$2:P$30=$A12)*(Cronograma!$B$2:$B$30=TRUE))&gt;0)))</f>
        <v>0</v>
      </c>
      <c r="E12" cm="1">
        <f t="array" ref="E12">_xlfn.XLOOKUP("Luisa Viviana",Cronograma!C2:C30,Cronograma!A2:A30,"")</f>
        <v>0</v>
      </c>
      <c r="F12" cm="1">
        <f t="array" ref="F12">_xlfn.XLOOKUP("Luisa Viviana",Cronograma!D2:D30,Cronograma!A2:A30,"")</f>
        <v>0</v>
      </c>
      <c r="G12" cm="1">
        <f t="array" ref="G12">_xlfn.XLOOKUP("Luisa Viviana",Cronograma!E2:E30,Cronograma!A2:A30,"")</f>
        <v>0</v>
      </c>
      <c r="H12" cm="1">
        <f t="array" ref="H12">_xlfn.XLOOKUP("Luisa Viviana",Cronograma!F2:F30,Cronograma!A2:A30,"")</f>
        <v>0</v>
      </c>
      <c r="I12" cm="1">
        <f t="array" ref="I12">_xlfn.XLOOKUP("Luisa Viviana",Cronograma!G2:G30,Cronograma!A2:A30,"")</f>
        <v>0</v>
      </c>
      <c r="J12" cm="1">
        <f t="array" ref="J12">_xlfn.XLOOKUP("Luisa Viviana",Cronograma!H2:H30,Cronograma!A2:A30,"")</f>
        <v>0</v>
      </c>
      <c r="K12" cm="1">
        <f t="array" ref="K12">_xlfn.XLOOKUP("Luisa Viviana",Cronograma!I2:I30,Cronograma!A2:A30,"")</f>
        <v>0</v>
      </c>
      <c r="L12" cm="1">
        <f t="array" ref="L12">_xlfn.XLOOKUP("Luisa Viviana",Cronograma!J2:J30,Cronograma!A2:A30,"")</f>
        <v>0</v>
      </c>
      <c r="M12" cm="1">
        <f t="array" ref="M12">_xlfn.XLOOKUP("Luisa Viviana",Cronograma!K2:K30,Cronograma!A2:A30,"")</f>
        <v>0</v>
      </c>
      <c r="N12" cm="1">
        <f t="array" ref="N12">_xlfn.XLOOKUP("Luisa Viviana",Cronograma!L2:L30,Cronograma!A2:A30,"")</f>
        <v>0</v>
      </c>
      <c r="O12" cm="1">
        <f t="array" ref="O12">_xlfn.XLOOKUP("Luisa Viviana",Cronograma!M2:M30,Cronograma!A2:A30,"")</f>
        <v>0</v>
      </c>
      <c r="P12" cm="1">
        <f t="array" ref="P12">_xlfn.XLOOKUP("Luisa Viviana",Cronograma!N2:N30,Cronograma!A2:A30,"")</f>
        <v>0</v>
      </c>
      <c r="Q12" cm="1">
        <f t="array" ref="Q12">_xlfn.XLOOKUP("Luisa Viviana",Cronograma!O2:O30,Cronograma!A2:A30,"")</f>
        <v>0</v>
      </c>
      <c r="R12" cm="1">
        <f t="array" ref="R12">_xlfn.XLOOKUP("Luisa Viviana",Cronograma!P2:P30,Cronograma!A2:A30,"")</f>
        <v>0</v>
      </c>
      <c r="S12" cm="1">
        <f t="array" ref="S12">_xlfn.XLOOKUP("Luisa Viviana",Cronograma!Q2:Q30,Cronograma!A2:A30,"")</f>
        <v>0</v>
      </c>
    </row>
    <row r="13" spans="1:19">
      <c r="A13" t="s">
        <v>64</v>
      </c>
      <c r="B13">
        <f>SUMPRODUCT((Cronograma!B2:B30=FALSE) * (COUNTIF(E13:S13, Cronograma!A2:A30)))</f>
        <v>0</v>
      </c>
      <c r="C13">
        <f>SUMPRODUCT((Cronograma!B2:B30=TRUE) * (COUNTIF(E13:S13, Cronograma!A2:A30)))</f>
        <v>0</v>
      </c>
      <c r="D13">
        <f>SUM(((SUMPRODUCT((Cronograma!C$2:C$30=$A13)*1)=0)*NOT(SUMPRODUCT((Cronograma!D$2:D$30=$A13)*(Cronograma!$B$2:$B$30=FALSE))&gt;0)),(((SUMPRODUCT((Cronograma!D$2:D$30=$A13)*1)=0)*NOT(SUMPRODUCT((Cronograma!C$2:C$30=$A13)*(Cronograma!$B$2:$B$30=TRUE))&gt;0))+((SUMPRODUCT((Cronograma!D$2:D$30=$A13)*1)=0)*NOT(SUMPRODUCT((Cronograma!E$2:E$30=$A13)*(Cronograma!$B$2:$B$30=FALSE))&gt;0))&gt;0),(((SUMPRODUCT((Cronograma!E$2:E$30=$A13)*1)=0)*NOT(SUMPRODUCT((Cronograma!D$2:D$30=$A13)*(Cronograma!$B$2:$B$30=TRUE))&gt;0))+((SUMPRODUCT((Cronograma!E$2:E$30=$A13)*1)=0)*NOT(SUMPRODUCT((Cronograma!F$2:F$30=$A13)*(Cronograma!$B$2:$B$30=FALSE))&gt;0))&gt;0),(((SUMPRODUCT((Cronograma!F$2:F$30=$A13)*1)=0)*NOT(SUMPRODUCT((Cronograma!E$2:E$30=$A13)*(Cronograma!$B$2:$B$30=TRUE))&gt;0))+((SUMPRODUCT((Cronograma!F$2:F$30=$A13)*1)=0)*NOT(SUMPRODUCT((Cronograma!G$2:G$30=$A13)*(Cronograma!$B$2:$B$30=FALSE))&gt;0))&gt;0),(((SUMPRODUCT((Cronograma!G$2:G$30=$A13)*1)=0)*NOT(SUMPRODUCT((Cronograma!F$2:F$30=$A13)*(Cronograma!$B$2:$B$30=TRUE))&gt;0))+((SUMPRODUCT((Cronograma!G$2:G$30=$A13)*1)=0)*NOT(SUMPRODUCT((Cronograma!H$2:H$30=$A13)*(Cronograma!$B$2:$B$30=FALSE))&gt;0))&gt;0),(((SUMPRODUCT((Cronograma!H$2:H$30=$A13)*1)=0)*NOT(SUMPRODUCT((Cronograma!G$2:G$30=$A13)*(Cronograma!$B$2:$B$30=TRUE))&gt;0))+((SUMPRODUCT((Cronograma!H$2:H$30=$A13)*1)=0)*NOT(SUMPRODUCT((Cronograma!I$2:I$30=$A13)*(Cronograma!$B$2:$B$30=FALSE))&gt;0))&gt;0),(((SUMPRODUCT((Cronograma!I$2:I$30=$A13)*1)=0)*NOT(SUMPRODUCT((Cronograma!H$2:H$30=$A13)*(Cronograma!$B$2:$B$30=TRUE))&gt;0))+((SUMPRODUCT((Cronograma!I$2:I$30=$A13)*1)=0)*NOT(SUMPRODUCT((Cronograma!J$2:J$30=$A13)*(Cronograma!$B$2:$B$30=FALSE))&gt;0))&gt;0),(((SUMPRODUCT((Cronograma!J$2:J$30=$A13)*1)=0)*NOT(SUMPRODUCT((Cronograma!I$2:I$30=$A13)*(Cronograma!$B$2:$B$30=TRUE))&gt;0))+((SUMPRODUCT((Cronograma!J$2:J$30=$A13)*1)=0)*NOT(SUMPRODUCT((Cronograma!K$2:K$30=$A13)*(Cronograma!$B$2:$B$30=FALSE))&gt;0))&gt;0),(((SUMPRODUCT((Cronograma!K$2:K$30=$A13)*1)=0)*NOT(SUMPRODUCT((Cronograma!J$2:J$30=$A13)*(Cronograma!$B$2:$B$30=TRUE))&gt;0))+((SUMPRODUCT((Cronograma!K$2:K$30=$A13)*1)=0)*NOT(SUMPRODUCT((Cronograma!L$2:L$30=$A13)*(Cronograma!$B$2:$B$30=FALSE))&gt;0))&gt;0),(((SUMPRODUCT((Cronograma!L$2:L$30=$A13)*1)=0)*NOT(SUMPRODUCT((Cronograma!K$2:K$30=$A13)*(Cronograma!$B$2:$B$30=TRUE))&gt;0))+((SUMPRODUCT((Cronograma!L$2:L$30=$A13)*1)=0)*NOT(SUMPRODUCT((Cronograma!M$2:M$30=$A13)*(Cronograma!$B$2:$B$30=FALSE))&gt;0))&gt;0),(((SUMPRODUCT((Cronograma!M$2:M$30=$A13)*1)=0)*NOT(SUMPRODUCT((Cronograma!L$2:L$30=$A13)*(Cronograma!$B$2:$B$30=TRUE))&gt;0))+((SUMPRODUCT((Cronograma!M$2:M$30=$A13)*1)=0)*NOT(SUMPRODUCT((Cronograma!N$2:N$30=$A13)*(Cronograma!$B$2:$B$30=FALSE))&gt;0))&gt;0),(((SUMPRODUCT((Cronograma!N$2:N$30=$A13)*1)=0)*NOT(SUMPRODUCT((Cronograma!M$2:M$30=$A13)*(Cronograma!$B$2:$B$30=TRUE))&gt;0))+((SUMPRODUCT((Cronograma!N$2:N$30=$A13)*1)=0)*NOT(SUMPRODUCT((Cronograma!O$2:O$30=$A13)*(Cronograma!$B$2:$B$30=FALSE))&gt;0))&gt;0),(((SUMPRODUCT((Cronograma!O$2:O$30=$A13)*1)=0)*NOT(SUMPRODUCT((Cronograma!N$2:N$30=$A13)*(Cronograma!$B$2:$B$30=TRUE))&gt;0))+((SUMPRODUCT((Cronograma!O$2:O$30=$A13)*1)=0)*NOT(SUMPRODUCT((Cronograma!P$2:P$30=$A13)*(Cronograma!$B$2:$B$30=FALSE))&gt;0))&gt;0),(((SUMPRODUCT((Cronograma!P$2:P$30=$A13)*1)=0)*NOT(SUMPRODUCT((Cronograma!O$2:O$30=$A13)*(Cronograma!$B$2:$B$30=TRUE))&gt;0))+((SUMPRODUCT((Cronograma!P$2:P$30=$A13)*1)=0)*NOT(SUMPRODUCT((Cronograma!Q$2:Q$30=$A13)*(Cronograma!$B$2:$B$30=FALSE))&gt;0))&gt;0),((SUMPRODUCT((Cronograma!Q$2:Q$30=$A13)*1)=0)*NOT(SUMPRODUCT((Cronograma!P$2:P$30=$A13)*(Cronograma!$B$2:$B$30=TRUE))&gt;0)))</f>
        <v>0</v>
      </c>
      <c r="E13" cm="1">
        <f t="array" ref="E13">_xlfn.XLOOKUP("Maria Paula",Cronograma!C2:C30,Cronograma!A2:A30,"")</f>
        <v>0</v>
      </c>
      <c r="F13" cm="1">
        <f t="array" ref="F13">_xlfn.XLOOKUP("Maria Paula",Cronograma!D2:D30,Cronograma!A2:A30,"")</f>
        <v>0</v>
      </c>
      <c r="G13" cm="1">
        <f t="array" ref="G13">_xlfn.XLOOKUP("Maria Paula",Cronograma!E2:E30,Cronograma!A2:A30,"")</f>
        <v>0</v>
      </c>
      <c r="H13" cm="1">
        <f t="array" ref="H13">_xlfn.XLOOKUP("Maria Paula",Cronograma!F2:F30,Cronograma!A2:A30,"")</f>
        <v>0</v>
      </c>
      <c r="I13" cm="1">
        <f t="array" ref="I13">_xlfn.XLOOKUP("Maria Paula",Cronograma!G2:G30,Cronograma!A2:A30,"")</f>
        <v>0</v>
      </c>
      <c r="J13" cm="1">
        <f t="array" ref="J13">_xlfn.XLOOKUP("Maria Paula",Cronograma!H2:H30,Cronograma!A2:A30,"")</f>
        <v>0</v>
      </c>
      <c r="K13" cm="1">
        <f t="array" ref="K13">_xlfn.XLOOKUP("Maria Paula",Cronograma!I2:I30,Cronograma!A2:A30,"")</f>
        <v>0</v>
      </c>
      <c r="L13" cm="1">
        <f t="array" ref="L13">_xlfn.XLOOKUP("Maria Paula",Cronograma!J2:J30,Cronograma!A2:A30,"")</f>
        <v>0</v>
      </c>
      <c r="M13" cm="1">
        <f t="array" ref="M13">_xlfn.XLOOKUP("Maria Paula",Cronograma!K2:K30,Cronograma!A2:A30,"")</f>
        <v>0</v>
      </c>
      <c r="N13" cm="1">
        <f t="array" ref="N13">_xlfn.XLOOKUP("Maria Paula",Cronograma!L2:L30,Cronograma!A2:A30,"")</f>
        <v>0</v>
      </c>
      <c r="O13" cm="1">
        <f t="array" ref="O13">_xlfn.XLOOKUP("Maria Paula",Cronograma!M2:M30,Cronograma!A2:A30,"")</f>
        <v>0</v>
      </c>
      <c r="P13" cm="1">
        <f t="array" ref="P13">_xlfn.XLOOKUP("Maria Paula",Cronograma!N2:N30,Cronograma!A2:A30,"")</f>
        <v>0</v>
      </c>
      <c r="Q13" cm="1">
        <f t="array" ref="Q13">_xlfn.XLOOKUP("Maria Paula",Cronograma!O2:O30,Cronograma!A2:A30,"")</f>
        <v>0</v>
      </c>
      <c r="R13" cm="1">
        <f t="array" ref="R13">_xlfn.XLOOKUP("Maria Paula",Cronograma!P2:P30,Cronograma!A2:A30,"")</f>
        <v>0</v>
      </c>
      <c r="S13" cm="1">
        <f t="array" ref="S13">_xlfn.XLOOKUP("Maria Paula",Cronograma!Q2:Q30,Cronograma!A2:A30,"")</f>
        <v>0</v>
      </c>
    </row>
    <row r="14" spans="1:19">
      <c r="A14" t="s">
        <v>65</v>
      </c>
      <c r="B14">
        <f>SUMPRODUCT((Cronograma!B2:B30=FALSE) * (COUNTIF(E14:S14, Cronograma!A2:A30)))</f>
        <v>0</v>
      </c>
      <c r="C14">
        <f>SUMPRODUCT((Cronograma!B2:B30=TRUE) * (COUNTIF(E14:S14, Cronograma!A2:A30)))</f>
        <v>0</v>
      </c>
      <c r="D14">
        <f>SUM(((SUMPRODUCT((Cronograma!C$2:C$30=$A14)*1)=0)*NOT(SUMPRODUCT((Cronograma!D$2:D$30=$A14)*(Cronograma!$B$2:$B$30=FALSE))&gt;0)),(((SUMPRODUCT((Cronograma!D$2:D$30=$A14)*1)=0)*NOT(SUMPRODUCT((Cronograma!C$2:C$30=$A14)*(Cronograma!$B$2:$B$30=TRUE))&gt;0))+((SUMPRODUCT((Cronograma!D$2:D$30=$A14)*1)=0)*NOT(SUMPRODUCT((Cronograma!E$2:E$30=$A14)*(Cronograma!$B$2:$B$30=FALSE))&gt;0))&gt;0),(((SUMPRODUCT((Cronograma!E$2:E$30=$A14)*1)=0)*NOT(SUMPRODUCT((Cronograma!D$2:D$30=$A14)*(Cronograma!$B$2:$B$30=TRUE))&gt;0))+((SUMPRODUCT((Cronograma!E$2:E$30=$A14)*1)=0)*NOT(SUMPRODUCT((Cronograma!F$2:F$30=$A14)*(Cronograma!$B$2:$B$30=FALSE))&gt;0))&gt;0),(((SUMPRODUCT((Cronograma!F$2:F$30=$A14)*1)=0)*NOT(SUMPRODUCT((Cronograma!E$2:E$30=$A14)*(Cronograma!$B$2:$B$30=TRUE))&gt;0))+((SUMPRODUCT((Cronograma!F$2:F$30=$A14)*1)=0)*NOT(SUMPRODUCT((Cronograma!G$2:G$30=$A14)*(Cronograma!$B$2:$B$30=FALSE))&gt;0))&gt;0),(((SUMPRODUCT((Cronograma!G$2:G$30=$A14)*1)=0)*NOT(SUMPRODUCT((Cronograma!F$2:F$30=$A14)*(Cronograma!$B$2:$B$30=TRUE))&gt;0))+((SUMPRODUCT((Cronograma!G$2:G$30=$A14)*1)=0)*NOT(SUMPRODUCT((Cronograma!H$2:H$30=$A14)*(Cronograma!$B$2:$B$30=FALSE))&gt;0))&gt;0),(((SUMPRODUCT((Cronograma!H$2:H$30=$A14)*1)=0)*NOT(SUMPRODUCT((Cronograma!G$2:G$30=$A14)*(Cronograma!$B$2:$B$30=TRUE))&gt;0))+((SUMPRODUCT((Cronograma!H$2:H$30=$A14)*1)=0)*NOT(SUMPRODUCT((Cronograma!I$2:I$30=$A14)*(Cronograma!$B$2:$B$30=FALSE))&gt;0))&gt;0),(((SUMPRODUCT((Cronograma!I$2:I$30=$A14)*1)=0)*NOT(SUMPRODUCT((Cronograma!H$2:H$30=$A14)*(Cronograma!$B$2:$B$30=TRUE))&gt;0))+((SUMPRODUCT((Cronograma!I$2:I$30=$A14)*1)=0)*NOT(SUMPRODUCT((Cronograma!J$2:J$30=$A14)*(Cronograma!$B$2:$B$30=FALSE))&gt;0))&gt;0),(((SUMPRODUCT((Cronograma!J$2:J$30=$A14)*1)=0)*NOT(SUMPRODUCT((Cronograma!I$2:I$30=$A14)*(Cronograma!$B$2:$B$30=TRUE))&gt;0))+((SUMPRODUCT((Cronograma!J$2:J$30=$A14)*1)=0)*NOT(SUMPRODUCT((Cronograma!K$2:K$30=$A14)*(Cronograma!$B$2:$B$30=FALSE))&gt;0))&gt;0),(((SUMPRODUCT((Cronograma!K$2:K$30=$A14)*1)=0)*NOT(SUMPRODUCT((Cronograma!J$2:J$30=$A14)*(Cronograma!$B$2:$B$30=TRUE))&gt;0))+((SUMPRODUCT((Cronograma!K$2:K$30=$A14)*1)=0)*NOT(SUMPRODUCT((Cronograma!L$2:L$30=$A14)*(Cronograma!$B$2:$B$30=FALSE))&gt;0))&gt;0),(((SUMPRODUCT((Cronograma!L$2:L$30=$A14)*1)=0)*NOT(SUMPRODUCT((Cronograma!K$2:K$30=$A14)*(Cronograma!$B$2:$B$30=TRUE))&gt;0))+((SUMPRODUCT((Cronograma!L$2:L$30=$A14)*1)=0)*NOT(SUMPRODUCT((Cronograma!M$2:M$30=$A14)*(Cronograma!$B$2:$B$30=FALSE))&gt;0))&gt;0),(((SUMPRODUCT((Cronograma!M$2:M$30=$A14)*1)=0)*NOT(SUMPRODUCT((Cronograma!L$2:L$30=$A14)*(Cronograma!$B$2:$B$30=TRUE))&gt;0))+((SUMPRODUCT((Cronograma!M$2:M$30=$A14)*1)=0)*NOT(SUMPRODUCT((Cronograma!N$2:N$30=$A14)*(Cronograma!$B$2:$B$30=FALSE))&gt;0))&gt;0),(((SUMPRODUCT((Cronograma!N$2:N$30=$A14)*1)=0)*NOT(SUMPRODUCT((Cronograma!M$2:M$30=$A14)*(Cronograma!$B$2:$B$30=TRUE))&gt;0))+((SUMPRODUCT((Cronograma!N$2:N$30=$A14)*1)=0)*NOT(SUMPRODUCT((Cronograma!O$2:O$30=$A14)*(Cronograma!$B$2:$B$30=FALSE))&gt;0))&gt;0),(((SUMPRODUCT((Cronograma!O$2:O$30=$A14)*1)=0)*NOT(SUMPRODUCT((Cronograma!N$2:N$30=$A14)*(Cronograma!$B$2:$B$30=TRUE))&gt;0))+((SUMPRODUCT((Cronograma!O$2:O$30=$A14)*1)=0)*NOT(SUMPRODUCT((Cronograma!P$2:P$30=$A14)*(Cronograma!$B$2:$B$30=FALSE))&gt;0))&gt;0),(((SUMPRODUCT((Cronograma!P$2:P$30=$A14)*1)=0)*NOT(SUMPRODUCT((Cronograma!O$2:O$30=$A14)*(Cronograma!$B$2:$B$30=TRUE))&gt;0))+((SUMPRODUCT((Cronograma!P$2:P$30=$A14)*1)=0)*NOT(SUMPRODUCT((Cronograma!Q$2:Q$30=$A14)*(Cronograma!$B$2:$B$30=FALSE))&gt;0))&gt;0),((SUMPRODUCT((Cronograma!Q$2:Q$30=$A14)*1)=0)*NOT(SUMPRODUCT((Cronograma!P$2:P$30=$A14)*(Cronograma!$B$2:$B$30=TRUE))&gt;0)))</f>
        <v>0</v>
      </c>
      <c r="E14" cm="1">
        <f t="array" ref="E14">_xlfn.XLOOKUP("Maribel",Cronograma!C2:C30,Cronograma!A2:A30,"")</f>
        <v>0</v>
      </c>
      <c r="F14" cm="1">
        <f t="array" ref="F14">_xlfn.XLOOKUP("Maribel",Cronograma!D2:D30,Cronograma!A2:A30,"")</f>
        <v>0</v>
      </c>
      <c r="G14" cm="1">
        <f t="array" ref="G14">_xlfn.XLOOKUP("Maribel",Cronograma!E2:E30,Cronograma!A2:A30,"")</f>
        <v>0</v>
      </c>
      <c r="H14" cm="1">
        <f t="array" ref="H14">_xlfn.XLOOKUP("Maribel",Cronograma!F2:F30,Cronograma!A2:A30,"")</f>
        <v>0</v>
      </c>
      <c r="I14" cm="1">
        <f t="array" ref="I14">_xlfn.XLOOKUP("Maribel",Cronograma!G2:G30,Cronograma!A2:A30,"")</f>
        <v>0</v>
      </c>
      <c r="J14" cm="1">
        <f t="array" ref="J14">_xlfn.XLOOKUP("Maribel",Cronograma!H2:H30,Cronograma!A2:A30,"")</f>
        <v>0</v>
      </c>
      <c r="K14" cm="1">
        <f t="array" ref="K14">_xlfn.XLOOKUP("Maribel",Cronograma!I2:I30,Cronograma!A2:A30,"")</f>
        <v>0</v>
      </c>
      <c r="L14" cm="1">
        <f t="array" ref="L14">_xlfn.XLOOKUP("Maribel",Cronograma!J2:J30,Cronograma!A2:A30,"")</f>
        <v>0</v>
      </c>
      <c r="M14" cm="1">
        <f t="array" ref="M14">_xlfn.XLOOKUP("Maribel",Cronograma!K2:K30,Cronograma!A2:A30,"")</f>
        <v>0</v>
      </c>
      <c r="N14" cm="1">
        <f t="array" ref="N14">_xlfn.XLOOKUP("Maribel",Cronograma!L2:L30,Cronograma!A2:A30,"")</f>
        <v>0</v>
      </c>
      <c r="O14" cm="1">
        <f t="array" ref="O14">_xlfn.XLOOKUP("Maribel",Cronograma!M2:M30,Cronograma!A2:A30,"")</f>
        <v>0</v>
      </c>
      <c r="P14" cm="1">
        <f t="array" ref="P14">_xlfn.XLOOKUP("Maribel",Cronograma!N2:N30,Cronograma!A2:A30,"")</f>
        <v>0</v>
      </c>
      <c r="Q14" cm="1">
        <f t="array" ref="Q14">_xlfn.XLOOKUP("Maribel",Cronograma!O2:O30,Cronograma!A2:A30,"")</f>
        <v>0</v>
      </c>
      <c r="R14" cm="1">
        <f t="array" ref="R14">_xlfn.XLOOKUP("Maribel",Cronograma!P2:P30,Cronograma!A2:A30,"")</f>
        <v>0</v>
      </c>
      <c r="S14" cm="1">
        <f t="array" ref="S14">_xlfn.XLOOKUP("Maribel",Cronograma!Q2:Q30,Cronograma!A2:A30,"")</f>
        <v>0</v>
      </c>
    </row>
    <row r="15" spans="1:19">
      <c r="A15" t="s">
        <v>62</v>
      </c>
      <c r="B15">
        <f>SUMPRODUCT((Cronograma!B2:B30=FALSE) * (COUNTIF(E15:S15, Cronograma!A2:A30)))</f>
        <v>0</v>
      </c>
      <c r="C15">
        <f>SUMPRODUCT((Cronograma!B2:B30=TRUE) * (COUNTIF(E15:S15, Cronograma!A2:A30)))</f>
        <v>0</v>
      </c>
      <c r="D15">
        <f>SUM(((SUMPRODUCT((Cronograma!C$2:C$30=$A15)*1)=0)*NOT(SUMPRODUCT((Cronograma!D$2:D$30=$A15)*(Cronograma!$B$2:$B$30=FALSE))&gt;0)),(((SUMPRODUCT((Cronograma!D$2:D$30=$A15)*1)=0)*NOT(SUMPRODUCT((Cronograma!C$2:C$30=$A15)*(Cronograma!$B$2:$B$30=TRUE))&gt;0))+((SUMPRODUCT((Cronograma!D$2:D$30=$A15)*1)=0)*NOT(SUMPRODUCT((Cronograma!E$2:E$30=$A15)*(Cronograma!$B$2:$B$30=FALSE))&gt;0))&gt;0),(((SUMPRODUCT((Cronograma!E$2:E$30=$A15)*1)=0)*NOT(SUMPRODUCT((Cronograma!D$2:D$30=$A15)*(Cronograma!$B$2:$B$30=TRUE))&gt;0))+((SUMPRODUCT((Cronograma!E$2:E$30=$A15)*1)=0)*NOT(SUMPRODUCT((Cronograma!F$2:F$30=$A15)*(Cronograma!$B$2:$B$30=FALSE))&gt;0))&gt;0),(((SUMPRODUCT((Cronograma!F$2:F$30=$A15)*1)=0)*NOT(SUMPRODUCT((Cronograma!E$2:E$30=$A15)*(Cronograma!$B$2:$B$30=TRUE))&gt;0))+((SUMPRODUCT((Cronograma!F$2:F$30=$A15)*1)=0)*NOT(SUMPRODUCT((Cronograma!G$2:G$30=$A15)*(Cronograma!$B$2:$B$30=FALSE))&gt;0))&gt;0),(((SUMPRODUCT((Cronograma!G$2:G$30=$A15)*1)=0)*NOT(SUMPRODUCT((Cronograma!F$2:F$30=$A15)*(Cronograma!$B$2:$B$30=TRUE))&gt;0))+((SUMPRODUCT((Cronograma!G$2:G$30=$A15)*1)=0)*NOT(SUMPRODUCT((Cronograma!H$2:H$30=$A15)*(Cronograma!$B$2:$B$30=FALSE))&gt;0))&gt;0),(((SUMPRODUCT((Cronograma!H$2:H$30=$A15)*1)=0)*NOT(SUMPRODUCT((Cronograma!G$2:G$30=$A15)*(Cronograma!$B$2:$B$30=TRUE))&gt;0))+((SUMPRODUCT((Cronograma!H$2:H$30=$A15)*1)=0)*NOT(SUMPRODUCT((Cronograma!I$2:I$30=$A15)*(Cronograma!$B$2:$B$30=FALSE))&gt;0))&gt;0),(((SUMPRODUCT((Cronograma!I$2:I$30=$A15)*1)=0)*NOT(SUMPRODUCT((Cronograma!H$2:H$30=$A15)*(Cronograma!$B$2:$B$30=TRUE))&gt;0))+((SUMPRODUCT((Cronograma!I$2:I$30=$A15)*1)=0)*NOT(SUMPRODUCT((Cronograma!J$2:J$30=$A15)*(Cronograma!$B$2:$B$30=FALSE))&gt;0))&gt;0),(((SUMPRODUCT((Cronograma!J$2:J$30=$A15)*1)=0)*NOT(SUMPRODUCT((Cronograma!I$2:I$30=$A15)*(Cronograma!$B$2:$B$30=TRUE))&gt;0))+((SUMPRODUCT((Cronograma!J$2:J$30=$A15)*1)=0)*NOT(SUMPRODUCT((Cronograma!K$2:K$30=$A15)*(Cronograma!$B$2:$B$30=FALSE))&gt;0))&gt;0),(((SUMPRODUCT((Cronograma!K$2:K$30=$A15)*1)=0)*NOT(SUMPRODUCT((Cronograma!J$2:J$30=$A15)*(Cronograma!$B$2:$B$30=TRUE))&gt;0))+((SUMPRODUCT((Cronograma!K$2:K$30=$A15)*1)=0)*NOT(SUMPRODUCT((Cronograma!L$2:L$30=$A15)*(Cronograma!$B$2:$B$30=FALSE))&gt;0))&gt;0),(((SUMPRODUCT((Cronograma!L$2:L$30=$A15)*1)=0)*NOT(SUMPRODUCT((Cronograma!K$2:K$30=$A15)*(Cronograma!$B$2:$B$30=TRUE))&gt;0))+((SUMPRODUCT((Cronograma!L$2:L$30=$A15)*1)=0)*NOT(SUMPRODUCT((Cronograma!M$2:M$30=$A15)*(Cronograma!$B$2:$B$30=FALSE))&gt;0))&gt;0),(((SUMPRODUCT((Cronograma!M$2:M$30=$A15)*1)=0)*NOT(SUMPRODUCT((Cronograma!L$2:L$30=$A15)*(Cronograma!$B$2:$B$30=TRUE))&gt;0))+((SUMPRODUCT((Cronograma!M$2:M$30=$A15)*1)=0)*NOT(SUMPRODUCT((Cronograma!N$2:N$30=$A15)*(Cronograma!$B$2:$B$30=FALSE))&gt;0))&gt;0),(((SUMPRODUCT((Cronograma!N$2:N$30=$A15)*1)=0)*NOT(SUMPRODUCT((Cronograma!M$2:M$30=$A15)*(Cronograma!$B$2:$B$30=TRUE))&gt;0))+((SUMPRODUCT((Cronograma!N$2:N$30=$A15)*1)=0)*NOT(SUMPRODUCT((Cronograma!O$2:O$30=$A15)*(Cronograma!$B$2:$B$30=FALSE))&gt;0))&gt;0),(((SUMPRODUCT((Cronograma!O$2:O$30=$A15)*1)=0)*NOT(SUMPRODUCT((Cronograma!N$2:N$30=$A15)*(Cronograma!$B$2:$B$30=TRUE))&gt;0))+((SUMPRODUCT((Cronograma!O$2:O$30=$A15)*1)=0)*NOT(SUMPRODUCT((Cronograma!P$2:P$30=$A15)*(Cronograma!$B$2:$B$30=FALSE))&gt;0))&gt;0),(((SUMPRODUCT((Cronograma!P$2:P$30=$A15)*1)=0)*NOT(SUMPRODUCT((Cronograma!O$2:O$30=$A15)*(Cronograma!$B$2:$B$30=TRUE))&gt;0))+((SUMPRODUCT((Cronograma!P$2:P$30=$A15)*1)=0)*NOT(SUMPRODUCT((Cronograma!Q$2:Q$30=$A15)*(Cronograma!$B$2:$B$30=FALSE))&gt;0))&gt;0),((SUMPRODUCT((Cronograma!Q$2:Q$30=$A15)*1)=0)*NOT(SUMPRODUCT((Cronograma!P$2:P$30=$A15)*(Cronograma!$B$2:$B$30=TRUE))&gt;0)))</f>
        <v>0</v>
      </c>
      <c r="E15" cm="1">
        <f t="array" ref="E15">_xlfn.XLOOKUP("Martha",Cronograma!C2:C30,Cronograma!A2:A30,"")</f>
        <v>0</v>
      </c>
      <c r="F15" cm="1">
        <f t="array" ref="F15">_xlfn.XLOOKUP("Martha",Cronograma!D2:D30,Cronograma!A2:A30,"")</f>
        <v>0</v>
      </c>
      <c r="G15" cm="1">
        <f t="array" ref="G15">_xlfn.XLOOKUP("Martha",Cronograma!E2:E30,Cronograma!A2:A30,"")</f>
        <v>0</v>
      </c>
      <c r="H15" cm="1">
        <f t="array" ref="H15">_xlfn.XLOOKUP("Martha",Cronograma!F2:F30,Cronograma!A2:A30,"")</f>
        <v>0</v>
      </c>
      <c r="I15" cm="1">
        <f t="array" ref="I15">_xlfn.XLOOKUP("Martha",Cronograma!G2:G30,Cronograma!A2:A30,"")</f>
        <v>0</v>
      </c>
      <c r="J15" cm="1">
        <f t="array" ref="J15">_xlfn.XLOOKUP("Martha",Cronograma!H2:H30,Cronograma!A2:A30,"")</f>
        <v>0</v>
      </c>
      <c r="K15" cm="1">
        <f t="array" ref="K15">_xlfn.XLOOKUP("Martha",Cronograma!I2:I30,Cronograma!A2:A30,"")</f>
        <v>0</v>
      </c>
      <c r="L15" cm="1">
        <f t="array" ref="L15">_xlfn.XLOOKUP("Martha",Cronograma!J2:J30,Cronograma!A2:A30,"")</f>
        <v>0</v>
      </c>
      <c r="M15" cm="1">
        <f t="array" ref="M15">_xlfn.XLOOKUP("Martha",Cronograma!K2:K30,Cronograma!A2:A30,"")</f>
        <v>0</v>
      </c>
      <c r="N15" cm="1">
        <f t="array" ref="N15">_xlfn.XLOOKUP("Martha",Cronograma!L2:L30,Cronograma!A2:A30,"")</f>
        <v>0</v>
      </c>
      <c r="O15" cm="1">
        <f t="array" ref="O15">_xlfn.XLOOKUP("Martha",Cronograma!M2:M30,Cronograma!A2:A30,"")</f>
        <v>0</v>
      </c>
      <c r="P15" cm="1">
        <f t="array" ref="P15">_xlfn.XLOOKUP("Martha",Cronograma!N2:N30,Cronograma!A2:A30,"")</f>
        <v>0</v>
      </c>
      <c r="Q15" cm="1">
        <f t="array" ref="Q15">_xlfn.XLOOKUP("Martha",Cronograma!O2:O30,Cronograma!A2:A30,"")</f>
        <v>0</v>
      </c>
      <c r="R15" cm="1">
        <f t="array" ref="R15">_xlfn.XLOOKUP("Martha",Cronograma!P2:P30,Cronograma!A2:A30,"")</f>
        <v>0</v>
      </c>
      <c r="S15" cm="1">
        <f t="array" ref="S15">_xlfn.XLOOKUP("Martha",Cronograma!Q2:Q30,Cronograma!A2:A30,"")</f>
        <v>0</v>
      </c>
    </row>
    <row r="16" spans="1:19">
      <c r="A16" t="s">
        <v>61</v>
      </c>
      <c r="B16">
        <f>SUMPRODUCT((Cronograma!B2:B30=FALSE) * (COUNTIF(E16:S16, Cronograma!A2:A30)))</f>
        <v>0</v>
      </c>
      <c r="C16">
        <f>SUMPRODUCT((Cronograma!B2:B30=TRUE) * (COUNTIF(E16:S16, Cronograma!A2:A30)))</f>
        <v>0</v>
      </c>
      <c r="D16">
        <f>SUM(((SUMPRODUCT((Cronograma!C$2:C$30=$A16)*1)=0)*NOT(SUMPRODUCT((Cronograma!D$2:D$30=$A16)*(Cronograma!$B$2:$B$30=FALSE))&gt;0)),(((SUMPRODUCT((Cronograma!D$2:D$30=$A16)*1)=0)*NOT(SUMPRODUCT((Cronograma!C$2:C$30=$A16)*(Cronograma!$B$2:$B$30=TRUE))&gt;0))+((SUMPRODUCT((Cronograma!D$2:D$30=$A16)*1)=0)*NOT(SUMPRODUCT((Cronograma!E$2:E$30=$A16)*(Cronograma!$B$2:$B$30=FALSE))&gt;0))&gt;0),(((SUMPRODUCT((Cronograma!E$2:E$30=$A16)*1)=0)*NOT(SUMPRODUCT((Cronograma!D$2:D$30=$A16)*(Cronograma!$B$2:$B$30=TRUE))&gt;0))+((SUMPRODUCT((Cronograma!E$2:E$30=$A16)*1)=0)*NOT(SUMPRODUCT((Cronograma!F$2:F$30=$A16)*(Cronograma!$B$2:$B$30=FALSE))&gt;0))&gt;0),(((SUMPRODUCT((Cronograma!F$2:F$30=$A16)*1)=0)*NOT(SUMPRODUCT((Cronograma!E$2:E$30=$A16)*(Cronograma!$B$2:$B$30=TRUE))&gt;0))+((SUMPRODUCT((Cronograma!F$2:F$30=$A16)*1)=0)*NOT(SUMPRODUCT((Cronograma!G$2:G$30=$A16)*(Cronograma!$B$2:$B$30=FALSE))&gt;0))&gt;0),(((SUMPRODUCT((Cronograma!G$2:G$30=$A16)*1)=0)*NOT(SUMPRODUCT((Cronograma!F$2:F$30=$A16)*(Cronograma!$B$2:$B$30=TRUE))&gt;0))+((SUMPRODUCT((Cronograma!G$2:G$30=$A16)*1)=0)*NOT(SUMPRODUCT((Cronograma!H$2:H$30=$A16)*(Cronograma!$B$2:$B$30=FALSE))&gt;0))&gt;0),(((SUMPRODUCT((Cronograma!H$2:H$30=$A16)*1)=0)*NOT(SUMPRODUCT((Cronograma!G$2:G$30=$A16)*(Cronograma!$B$2:$B$30=TRUE))&gt;0))+((SUMPRODUCT((Cronograma!H$2:H$30=$A16)*1)=0)*NOT(SUMPRODUCT((Cronograma!I$2:I$30=$A16)*(Cronograma!$B$2:$B$30=FALSE))&gt;0))&gt;0),(((SUMPRODUCT((Cronograma!I$2:I$30=$A16)*1)=0)*NOT(SUMPRODUCT((Cronograma!H$2:H$30=$A16)*(Cronograma!$B$2:$B$30=TRUE))&gt;0))+((SUMPRODUCT((Cronograma!I$2:I$30=$A16)*1)=0)*NOT(SUMPRODUCT((Cronograma!J$2:J$30=$A16)*(Cronograma!$B$2:$B$30=FALSE))&gt;0))&gt;0),(((SUMPRODUCT((Cronograma!J$2:J$30=$A16)*1)=0)*NOT(SUMPRODUCT((Cronograma!I$2:I$30=$A16)*(Cronograma!$B$2:$B$30=TRUE))&gt;0))+((SUMPRODUCT((Cronograma!J$2:J$30=$A16)*1)=0)*NOT(SUMPRODUCT((Cronograma!K$2:K$30=$A16)*(Cronograma!$B$2:$B$30=FALSE))&gt;0))&gt;0),(((SUMPRODUCT((Cronograma!K$2:K$30=$A16)*1)=0)*NOT(SUMPRODUCT((Cronograma!J$2:J$30=$A16)*(Cronograma!$B$2:$B$30=TRUE))&gt;0))+((SUMPRODUCT((Cronograma!K$2:K$30=$A16)*1)=0)*NOT(SUMPRODUCT((Cronograma!L$2:L$30=$A16)*(Cronograma!$B$2:$B$30=FALSE))&gt;0))&gt;0),(((SUMPRODUCT((Cronograma!L$2:L$30=$A16)*1)=0)*NOT(SUMPRODUCT((Cronograma!K$2:K$30=$A16)*(Cronograma!$B$2:$B$30=TRUE))&gt;0))+((SUMPRODUCT((Cronograma!L$2:L$30=$A16)*1)=0)*NOT(SUMPRODUCT((Cronograma!M$2:M$30=$A16)*(Cronograma!$B$2:$B$30=FALSE))&gt;0))&gt;0),(((SUMPRODUCT((Cronograma!M$2:M$30=$A16)*1)=0)*NOT(SUMPRODUCT((Cronograma!L$2:L$30=$A16)*(Cronograma!$B$2:$B$30=TRUE))&gt;0))+((SUMPRODUCT((Cronograma!M$2:M$30=$A16)*1)=0)*NOT(SUMPRODUCT((Cronograma!N$2:N$30=$A16)*(Cronograma!$B$2:$B$30=FALSE))&gt;0))&gt;0),(((SUMPRODUCT((Cronograma!N$2:N$30=$A16)*1)=0)*NOT(SUMPRODUCT((Cronograma!M$2:M$30=$A16)*(Cronograma!$B$2:$B$30=TRUE))&gt;0))+((SUMPRODUCT((Cronograma!N$2:N$30=$A16)*1)=0)*NOT(SUMPRODUCT((Cronograma!O$2:O$30=$A16)*(Cronograma!$B$2:$B$30=FALSE))&gt;0))&gt;0),(((SUMPRODUCT((Cronograma!O$2:O$30=$A16)*1)=0)*NOT(SUMPRODUCT((Cronograma!N$2:N$30=$A16)*(Cronograma!$B$2:$B$30=TRUE))&gt;0))+((SUMPRODUCT((Cronograma!O$2:O$30=$A16)*1)=0)*NOT(SUMPRODUCT((Cronograma!P$2:P$30=$A16)*(Cronograma!$B$2:$B$30=FALSE))&gt;0))&gt;0),(((SUMPRODUCT((Cronograma!P$2:P$30=$A16)*1)=0)*NOT(SUMPRODUCT((Cronograma!O$2:O$30=$A16)*(Cronograma!$B$2:$B$30=TRUE))&gt;0))+((SUMPRODUCT((Cronograma!P$2:P$30=$A16)*1)=0)*NOT(SUMPRODUCT((Cronograma!Q$2:Q$30=$A16)*(Cronograma!$B$2:$B$30=FALSE))&gt;0))&gt;0),((SUMPRODUCT((Cronograma!Q$2:Q$30=$A16)*1)=0)*NOT(SUMPRODUCT((Cronograma!P$2:P$30=$A16)*(Cronograma!$B$2:$B$30=TRUE))&gt;0)))</f>
        <v>0</v>
      </c>
      <c r="E16" cm="1">
        <f t="array" ref="E16">_xlfn.XLOOKUP("Rosa Angelica",Cronograma!C2:C30,Cronograma!A2:A30,"")</f>
        <v>0</v>
      </c>
      <c r="F16" cm="1">
        <f t="array" ref="F16">_xlfn.XLOOKUP("Rosa Angelica",Cronograma!D2:D30,Cronograma!A2:A30,"")</f>
        <v>0</v>
      </c>
      <c r="G16" cm="1">
        <f t="array" ref="G16">_xlfn.XLOOKUP("Rosa Angelica",Cronograma!E2:E30,Cronograma!A2:A30,"")</f>
        <v>0</v>
      </c>
      <c r="H16" cm="1">
        <f t="array" ref="H16">_xlfn.XLOOKUP("Rosa Angelica",Cronograma!F2:F30,Cronograma!A2:A30,"")</f>
        <v>0</v>
      </c>
      <c r="I16" cm="1">
        <f t="array" ref="I16">_xlfn.XLOOKUP("Rosa Angelica",Cronograma!G2:G30,Cronograma!A2:A30,"")</f>
        <v>0</v>
      </c>
      <c r="J16" cm="1">
        <f t="array" ref="J16">_xlfn.XLOOKUP("Rosa Angelica",Cronograma!H2:H30,Cronograma!A2:A30,"")</f>
        <v>0</v>
      </c>
      <c r="K16" cm="1">
        <f t="array" ref="K16">_xlfn.XLOOKUP("Rosa Angelica",Cronograma!I2:I30,Cronograma!A2:A30,"")</f>
        <v>0</v>
      </c>
      <c r="L16" cm="1">
        <f t="array" ref="L16">_xlfn.XLOOKUP("Rosa Angelica",Cronograma!J2:J30,Cronograma!A2:A30,"")</f>
        <v>0</v>
      </c>
      <c r="M16" cm="1">
        <f t="array" ref="M16">_xlfn.XLOOKUP("Rosa Angelica",Cronograma!K2:K30,Cronograma!A2:A30,"")</f>
        <v>0</v>
      </c>
      <c r="N16" cm="1">
        <f t="array" ref="N16">_xlfn.XLOOKUP("Rosa Angelica",Cronograma!L2:L30,Cronograma!A2:A30,"")</f>
        <v>0</v>
      </c>
      <c r="O16" cm="1">
        <f t="array" ref="O16">_xlfn.XLOOKUP("Rosa Angelica",Cronograma!M2:M30,Cronograma!A2:A30,"")</f>
        <v>0</v>
      </c>
      <c r="P16" cm="1">
        <f t="array" ref="P16">_xlfn.XLOOKUP("Rosa Angelica",Cronograma!N2:N30,Cronograma!A2:A30,"")</f>
        <v>0</v>
      </c>
      <c r="Q16" cm="1">
        <f t="array" ref="Q16">_xlfn.XLOOKUP("Rosa Angelica",Cronograma!O2:O30,Cronograma!A2:A30,"")</f>
        <v>0</v>
      </c>
      <c r="R16" cm="1">
        <f t="array" ref="R16">_xlfn.XLOOKUP("Rosa Angelica",Cronograma!P2:P30,Cronograma!A2:A30,"")</f>
        <v>0</v>
      </c>
      <c r="S16" cm="1">
        <f t="array" ref="S16">_xlfn.XLOOKUP("Rosa Angelica",Cronograma!Q2:Q30,Cronograma!A2:A30,"")</f>
        <v>0</v>
      </c>
    </row>
    <row r="17" spans="1:19">
      <c r="A17" t="s">
        <v>66</v>
      </c>
      <c r="B17">
        <f>SUMPRODUCT((Cronograma!B2:B30=FALSE) * (COUNTIF(E17:S17, Cronograma!A2:A30)))</f>
        <v>0</v>
      </c>
      <c r="C17">
        <f>SUMPRODUCT((Cronograma!B2:B30=TRUE) * (COUNTIF(E17:S17, Cronograma!A2:A30)))</f>
        <v>0</v>
      </c>
      <c r="D17">
        <f>SUM(((SUMPRODUCT((Cronograma!C$2:C$30=$A17)*1)=0)*NOT(SUMPRODUCT((Cronograma!D$2:D$30=$A17)*(Cronograma!$B$2:$B$30=FALSE))&gt;0)),(((SUMPRODUCT((Cronograma!D$2:D$30=$A17)*1)=0)*NOT(SUMPRODUCT((Cronograma!C$2:C$30=$A17)*(Cronograma!$B$2:$B$30=TRUE))&gt;0))+((SUMPRODUCT((Cronograma!D$2:D$30=$A17)*1)=0)*NOT(SUMPRODUCT((Cronograma!E$2:E$30=$A17)*(Cronograma!$B$2:$B$30=FALSE))&gt;0))&gt;0),(((SUMPRODUCT((Cronograma!E$2:E$30=$A17)*1)=0)*NOT(SUMPRODUCT((Cronograma!D$2:D$30=$A17)*(Cronograma!$B$2:$B$30=TRUE))&gt;0))+((SUMPRODUCT((Cronograma!E$2:E$30=$A17)*1)=0)*NOT(SUMPRODUCT((Cronograma!F$2:F$30=$A17)*(Cronograma!$B$2:$B$30=FALSE))&gt;0))&gt;0),(((SUMPRODUCT((Cronograma!F$2:F$30=$A17)*1)=0)*NOT(SUMPRODUCT((Cronograma!E$2:E$30=$A17)*(Cronograma!$B$2:$B$30=TRUE))&gt;0))+((SUMPRODUCT((Cronograma!F$2:F$30=$A17)*1)=0)*NOT(SUMPRODUCT((Cronograma!G$2:G$30=$A17)*(Cronograma!$B$2:$B$30=FALSE))&gt;0))&gt;0),(((SUMPRODUCT((Cronograma!G$2:G$30=$A17)*1)=0)*NOT(SUMPRODUCT((Cronograma!F$2:F$30=$A17)*(Cronograma!$B$2:$B$30=TRUE))&gt;0))+((SUMPRODUCT((Cronograma!G$2:G$30=$A17)*1)=0)*NOT(SUMPRODUCT((Cronograma!H$2:H$30=$A17)*(Cronograma!$B$2:$B$30=FALSE))&gt;0))&gt;0),(((SUMPRODUCT((Cronograma!H$2:H$30=$A17)*1)=0)*NOT(SUMPRODUCT((Cronograma!G$2:G$30=$A17)*(Cronograma!$B$2:$B$30=TRUE))&gt;0))+((SUMPRODUCT((Cronograma!H$2:H$30=$A17)*1)=0)*NOT(SUMPRODUCT((Cronograma!I$2:I$30=$A17)*(Cronograma!$B$2:$B$30=FALSE))&gt;0))&gt;0),(((SUMPRODUCT((Cronograma!I$2:I$30=$A17)*1)=0)*NOT(SUMPRODUCT((Cronograma!H$2:H$30=$A17)*(Cronograma!$B$2:$B$30=TRUE))&gt;0))+((SUMPRODUCT((Cronograma!I$2:I$30=$A17)*1)=0)*NOT(SUMPRODUCT((Cronograma!J$2:J$30=$A17)*(Cronograma!$B$2:$B$30=FALSE))&gt;0))&gt;0),(((SUMPRODUCT((Cronograma!J$2:J$30=$A17)*1)=0)*NOT(SUMPRODUCT((Cronograma!I$2:I$30=$A17)*(Cronograma!$B$2:$B$30=TRUE))&gt;0))+((SUMPRODUCT((Cronograma!J$2:J$30=$A17)*1)=0)*NOT(SUMPRODUCT((Cronograma!K$2:K$30=$A17)*(Cronograma!$B$2:$B$30=FALSE))&gt;0))&gt;0),(((SUMPRODUCT((Cronograma!K$2:K$30=$A17)*1)=0)*NOT(SUMPRODUCT((Cronograma!J$2:J$30=$A17)*(Cronograma!$B$2:$B$30=TRUE))&gt;0))+((SUMPRODUCT((Cronograma!K$2:K$30=$A17)*1)=0)*NOT(SUMPRODUCT((Cronograma!L$2:L$30=$A17)*(Cronograma!$B$2:$B$30=FALSE))&gt;0))&gt;0),(((SUMPRODUCT((Cronograma!L$2:L$30=$A17)*1)=0)*NOT(SUMPRODUCT((Cronograma!K$2:K$30=$A17)*(Cronograma!$B$2:$B$30=TRUE))&gt;0))+((SUMPRODUCT((Cronograma!L$2:L$30=$A17)*1)=0)*NOT(SUMPRODUCT((Cronograma!M$2:M$30=$A17)*(Cronograma!$B$2:$B$30=FALSE))&gt;0))&gt;0),(((SUMPRODUCT((Cronograma!M$2:M$30=$A17)*1)=0)*NOT(SUMPRODUCT((Cronograma!L$2:L$30=$A17)*(Cronograma!$B$2:$B$30=TRUE))&gt;0))+((SUMPRODUCT((Cronograma!M$2:M$30=$A17)*1)=0)*NOT(SUMPRODUCT((Cronograma!N$2:N$30=$A17)*(Cronograma!$B$2:$B$30=FALSE))&gt;0))&gt;0),(((SUMPRODUCT((Cronograma!N$2:N$30=$A17)*1)=0)*NOT(SUMPRODUCT((Cronograma!M$2:M$30=$A17)*(Cronograma!$B$2:$B$30=TRUE))&gt;0))+((SUMPRODUCT((Cronograma!N$2:N$30=$A17)*1)=0)*NOT(SUMPRODUCT((Cronograma!O$2:O$30=$A17)*(Cronograma!$B$2:$B$30=FALSE))&gt;0))&gt;0),(((SUMPRODUCT((Cronograma!O$2:O$30=$A17)*1)=0)*NOT(SUMPRODUCT((Cronograma!N$2:N$30=$A17)*(Cronograma!$B$2:$B$30=TRUE))&gt;0))+((SUMPRODUCT((Cronograma!O$2:O$30=$A17)*1)=0)*NOT(SUMPRODUCT((Cronograma!P$2:P$30=$A17)*(Cronograma!$B$2:$B$30=FALSE))&gt;0))&gt;0),(((SUMPRODUCT((Cronograma!P$2:P$30=$A17)*1)=0)*NOT(SUMPRODUCT((Cronograma!O$2:O$30=$A17)*(Cronograma!$B$2:$B$30=TRUE))&gt;0))+((SUMPRODUCT((Cronograma!P$2:P$30=$A17)*1)=0)*NOT(SUMPRODUCT((Cronograma!Q$2:Q$30=$A17)*(Cronograma!$B$2:$B$30=FALSE))&gt;0))&gt;0),((SUMPRODUCT((Cronograma!Q$2:Q$30=$A17)*1)=0)*NOT(SUMPRODUCT((Cronograma!P$2:P$30=$A17)*(Cronograma!$B$2:$B$30=TRUE))&gt;0)))</f>
        <v>0</v>
      </c>
      <c r="E17" cm="1">
        <f t="array" ref="E17">_xlfn.XLOOKUP("Stefany",Cronograma!C2:C30,Cronograma!A2:A30,"")</f>
        <v>0</v>
      </c>
      <c r="F17" cm="1">
        <f t="array" ref="F17">_xlfn.XLOOKUP("Stefany",Cronograma!D2:D30,Cronograma!A2:A30,"")</f>
        <v>0</v>
      </c>
      <c r="G17" cm="1">
        <f t="array" ref="G17">_xlfn.XLOOKUP("Stefany",Cronograma!E2:E30,Cronograma!A2:A30,"")</f>
        <v>0</v>
      </c>
      <c r="H17" cm="1">
        <f t="array" ref="H17">_xlfn.XLOOKUP("Stefany",Cronograma!F2:F30,Cronograma!A2:A30,"")</f>
        <v>0</v>
      </c>
      <c r="I17" cm="1">
        <f t="array" ref="I17">_xlfn.XLOOKUP("Stefany",Cronograma!G2:G30,Cronograma!A2:A30,"")</f>
        <v>0</v>
      </c>
      <c r="J17" cm="1">
        <f t="array" ref="J17">_xlfn.XLOOKUP("Stefany",Cronograma!H2:H30,Cronograma!A2:A30,"")</f>
        <v>0</v>
      </c>
      <c r="K17" cm="1">
        <f t="array" ref="K17">_xlfn.XLOOKUP("Stefany",Cronograma!I2:I30,Cronograma!A2:A30,"")</f>
        <v>0</v>
      </c>
      <c r="L17" cm="1">
        <f t="array" ref="L17">_xlfn.XLOOKUP("Stefany",Cronograma!J2:J30,Cronograma!A2:A30,"")</f>
        <v>0</v>
      </c>
      <c r="M17" cm="1">
        <f t="array" ref="M17">_xlfn.XLOOKUP("Stefany",Cronograma!K2:K30,Cronograma!A2:A30,"")</f>
        <v>0</v>
      </c>
      <c r="N17" cm="1">
        <f t="array" ref="N17">_xlfn.XLOOKUP("Stefany",Cronograma!L2:L30,Cronograma!A2:A30,"")</f>
        <v>0</v>
      </c>
      <c r="O17" cm="1">
        <f t="array" ref="O17">_xlfn.XLOOKUP("Stefany",Cronograma!M2:M30,Cronograma!A2:A30,"")</f>
        <v>0</v>
      </c>
      <c r="P17" cm="1">
        <f t="array" ref="P17">_xlfn.XLOOKUP("Stefany",Cronograma!N2:N30,Cronograma!A2:A30,"")</f>
        <v>0</v>
      </c>
      <c r="Q17" cm="1">
        <f t="array" ref="Q17">_xlfn.XLOOKUP("Stefany",Cronograma!O2:O30,Cronograma!A2:A30,"")</f>
        <v>0</v>
      </c>
      <c r="R17" cm="1">
        <f t="array" ref="R17">_xlfn.XLOOKUP("Stefany",Cronograma!P2:P30,Cronograma!A2:A30,"")</f>
        <v>0</v>
      </c>
      <c r="S17" cm="1">
        <f t="array" ref="S17">_xlfn.XLOOKUP("Stefany",Cronograma!Q2:Q30,Cronograma!A2:A30,"")</f>
        <v>0</v>
      </c>
    </row>
    <row r="18" spans="1:19">
      <c r="A18" t="s">
        <v>49</v>
      </c>
      <c r="B18">
        <f>SUMPRODUCT((Cronograma!B2:B30=FALSE) * (COUNTIF(E18:S18, Cronograma!A2:A30)))</f>
        <v>0</v>
      </c>
      <c r="C18">
        <f>SUMPRODUCT((Cronograma!B2:B30=TRUE) * (COUNTIF(E18:S18, Cronograma!A2:A30)))</f>
        <v>0</v>
      </c>
      <c r="D18">
        <f>SUM(((SUMPRODUCT((Cronograma!C$2:C$30=$A18)*1)=0)*NOT(SUMPRODUCT((Cronograma!D$2:D$30=$A18)*(Cronograma!$B$2:$B$30=FALSE))&gt;0)),(((SUMPRODUCT((Cronograma!D$2:D$30=$A18)*1)=0)*NOT(SUMPRODUCT((Cronograma!C$2:C$30=$A18)*(Cronograma!$B$2:$B$30=TRUE))&gt;0))+((SUMPRODUCT((Cronograma!D$2:D$30=$A18)*1)=0)*NOT(SUMPRODUCT((Cronograma!E$2:E$30=$A18)*(Cronograma!$B$2:$B$30=FALSE))&gt;0))&gt;0),(((SUMPRODUCT((Cronograma!E$2:E$30=$A18)*1)=0)*NOT(SUMPRODUCT((Cronograma!D$2:D$30=$A18)*(Cronograma!$B$2:$B$30=TRUE))&gt;0))+((SUMPRODUCT((Cronograma!E$2:E$30=$A18)*1)=0)*NOT(SUMPRODUCT((Cronograma!F$2:F$30=$A18)*(Cronograma!$B$2:$B$30=FALSE))&gt;0))&gt;0),(((SUMPRODUCT((Cronograma!F$2:F$30=$A18)*1)=0)*NOT(SUMPRODUCT((Cronograma!E$2:E$30=$A18)*(Cronograma!$B$2:$B$30=TRUE))&gt;0))+((SUMPRODUCT((Cronograma!F$2:F$30=$A18)*1)=0)*NOT(SUMPRODUCT((Cronograma!G$2:G$30=$A18)*(Cronograma!$B$2:$B$30=FALSE))&gt;0))&gt;0),(((SUMPRODUCT((Cronograma!G$2:G$30=$A18)*1)=0)*NOT(SUMPRODUCT((Cronograma!F$2:F$30=$A18)*(Cronograma!$B$2:$B$30=TRUE))&gt;0))+((SUMPRODUCT((Cronograma!G$2:G$30=$A18)*1)=0)*NOT(SUMPRODUCT((Cronograma!H$2:H$30=$A18)*(Cronograma!$B$2:$B$30=FALSE))&gt;0))&gt;0),(((SUMPRODUCT((Cronograma!H$2:H$30=$A18)*1)=0)*NOT(SUMPRODUCT((Cronograma!G$2:G$30=$A18)*(Cronograma!$B$2:$B$30=TRUE))&gt;0))+((SUMPRODUCT((Cronograma!H$2:H$30=$A18)*1)=0)*NOT(SUMPRODUCT((Cronograma!I$2:I$30=$A18)*(Cronograma!$B$2:$B$30=FALSE))&gt;0))&gt;0),(((SUMPRODUCT((Cronograma!I$2:I$30=$A18)*1)=0)*NOT(SUMPRODUCT((Cronograma!H$2:H$30=$A18)*(Cronograma!$B$2:$B$30=TRUE))&gt;0))+((SUMPRODUCT((Cronograma!I$2:I$30=$A18)*1)=0)*NOT(SUMPRODUCT((Cronograma!J$2:J$30=$A18)*(Cronograma!$B$2:$B$30=FALSE))&gt;0))&gt;0),(((SUMPRODUCT((Cronograma!J$2:J$30=$A18)*1)=0)*NOT(SUMPRODUCT((Cronograma!I$2:I$30=$A18)*(Cronograma!$B$2:$B$30=TRUE))&gt;0))+((SUMPRODUCT((Cronograma!J$2:J$30=$A18)*1)=0)*NOT(SUMPRODUCT((Cronograma!K$2:K$30=$A18)*(Cronograma!$B$2:$B$30=FALSE))&gt;0))&gt;0),(((SUMPRODUCT((Cronograma!K$2:K$30=$A18)*1)=0)*NOT(SUMPRODUCT((Cronograma!J$2:J$30=$A18)*(Cronograma!$B$2:$B$30=TRUE))&gt;0))+((SUMPRODUCT((Cronograma!K$2:K$30=$A18)*1)=0)*NOT(SUMPRODUCT((Cronograma!L$2:L$30=$A18)*(Cronograma!$B$2:$B$30=FALSE))&gt;0))&gt;0),(((SUMPRODUCT((Cronograma!L$2:L$30=$A18)*1)=0)*NOT(SUMPRODUCT((Cronograma!K$2:K$30=$A18)*(Cronograma!$B$2:$B$30=TRUE))&gt;0))+((SUMPRODUCT((Cronograma!L$2:L$30=$A18)*1)=0)*NOT(SUMPRODUCT((Cronograma!M$2:M$30=$A18)*(Cronograma!$B$2:$B$30=FALSE))&gt;0))&gt;0),(((SUMPRODUCT((Cronograma!M$2:M$30=$A18)*1)=0)*NOT(SUMPRODUCT((Cronograma!L$2:L$30=$A18)*(Cronograma!$B$2:$B$30=TRUE))&gt;0))+((SUMPRODUCT((Cronograma!M$2:M$30=$A18)*1)=0)*NOT(SUMPRODUCT((Cronograma!N$2:N$30=$A18)*(Cronograma!$B$2:$B$30=FALSE))&gt;0))&gt;0),(((SUMPRODUCT((Cronograma!N$2:N$30=$A18)*1)=0)*NOT(SUMPRODUCT((Cronograma!M$2:M$30=$A18)*(Cronograma!$B$2:$B$30=TRUE))&gt;0))+((SUMPRODUCT((Cronograma!N$2:N$30=$A18)*1)=0)*NOT(SUMPRODUCT((Cronograma!O$2:O$30=$A18)*(Cronograma!$B$2:$B$30=FALSE))&gt;0))&gt;0),(((SUMPRODUCT((Cronograma!O$2:O$30=$A18)*1)=0)*NOT(SUMPRODUCT((Cronograma!N$2:N$30=$A18)*(Cronograma!$B$2:$B$30=TRUE))&gt;0))+((SUMPRODUCT((Cronograma!O$2:O$30=$A18)*1)=0)*NOT(SUMPRODUCT((Cronograma!P$2:P$30=$A18)*(Cronograma!$B$2:$B$30=FALSE))&gt;0))&gt;0),(((SUMPRODUCT((Cronograma!P$2:P$30=$A18)*1)=0)*NOT(SUMPRODUCT((Cronograma!O$2:O$30=$A18)*(Cronograma!$B$2:$B$30=TRUE))&gt;0))+((SUMPRODUCT((Cronograma!P$2:P$30=$A18)*1)=0)*NOT(SUMPRODUCT((Cronograma!Q$2:Q$30=$A18)*(Cronograma!$B$2:$B$30=FALSE))&gt;0))&gt;0),((SUMPRODUCT((Cronograma!Q$2:Q$30=$A18)*1)=0)*NOT(SUMPRODUCT((Cronograma!P$2:P$30=$A18)*(Cronograma!$B$2:$B$30=TRUE))&gt;0)))</f>
        <v>0</v>
      </c>
      <c r="E18" cm="1">
        <f t="array" ref="E18">_xlfn.XLOOKUP("Victor Julio",Cronograma!C2:C30,Cronograma!A2:A30,"")</f>
        <v>0</v>
      </c>
      <c r="F18" cm="1">
        <f t="array" ref="F18">_xlfn.XLOOKUP("Victor Julio",Cronograma!D2:D30,Cronograma!A2:A30,"")</f>
        <v>0</v>
      </c>
      <c r="G18" cm="1">
        <f t="array" ref="G18">_xlfn.XLOOKUP("Victor Julio",Cronograma!E2:E30,Cronograma!A2:A30,"")</f>
        <v>0</v>
      </c>
      <c r="H18" cm="1">
        <f t="array" ref="H18">_xlfn.XLOOKUP("Victor Julio",Cronograma!F2:F30,Cronograma!A2:A30,"")</f>
        <v>0</v>
      </c>
      <c r="I18" cm="1">
        <f t="array" ref="I18">_xlfn.XLOOKUP("Victor Julio",Cronograma!G2:G30,Cronograma!A2:A30,"")</f>
        <v>0</v>
      </c>
      <c r="J18" cm="1">
        <f t="array" ref="J18">_xlfn.XLOOKUP("Victor Julio",Cronograma!H2:H30,Cronograma!A2:A30,"")</f>
        <v>0</v>
      </c>
      <c r="K18" cm="1">
        <f t="array" ref="K18">_xlfn.XLOOKUP("Victor Julio",Cronograma!I2:I30,Cronograma!A2:A30,"")</f>
        <v>0</v>
      </c>
      <c r="L18" cm="1">
        <f t="array" ref="L18">_xlfn.XLOOKUP("Victor Julio",Cronograma!J2:J30,Cronograma!A2:A30,"")</f>
        <v>0</v>
      </c>
      <c r="M18" cm="1">
        <f t="array" ref="M18">_xlfn.XLOOKUP("Victor Julio",Cronograma!K2:K30,Cronograma!A2:A30,"")</f>
        <v>0</v>
      </c>
      <c r="N18" cm="1">
        <f t="array" ref="N18">_xlfn.XLOOKUP("Victor Julio",Cronograma!L2:L30,Cronograma!A2:A30,"")</f>
        <v>0</v>
      </c>
      <c r="O18" cm="1">
        <f t="array" ref="O18">_xlfn.XLOOKUP("Victor Julio",Cronograma!M2:M30,Cronograma!A2:A30,"")</f>
        <v>0</v>
      </c>
      <c r="P18" cm="1">
        <f t="array" ref="P18">_xlfn.XLOOKUP("Victor Julio",Cronograma!N2:N30,Cronograma!A2:A30,"")</f>
        <v>0</v>
      </c>
      <c r="Q18" cm="1">
        <f t="array" ref="Q18">_xlfn.XLOOKUP("Victor Julio",Cronograma!O2:O30,Cronograma!A2:A30,"")</f>
        <v>0</v>
      </c>
      <c r="R18" cm="1">
        <f t="array" ref="R18">_xlfn.XLOOKUP("Victor Julio",Cronograma!P2:P30,Cronograma!A2:A30,"")</f>
        <v>0</v>
      </c>
      <c r="S18" cm="1">
        <f t="array" ref="S18">_xlfn.XLOOKUP("Victor Julio",Cronograma!Q2:Q30,Cronograma!A2:A30,"")</f>
        <v>0</v>
      </c>
    </row>
    <row r="19" spans="1:19">
      <c r="A19" t="s">
        <v>37</v>
      </c>
      <c r="B19">
        <f>SUMPRODUCT((Cronograma!B2:B30=FALSE) * (COUNTIF(E19:S19, Cronograma!A2:A30)))</f>
        <v>0</v>
      </c>
      <c r="C19">
        <f>SUMPRODUCT((Cronograma!B2:B30=TRUE) * (COUNTIF(E19:S19, Cronograma!A2:A30)))</f>
        <v>0</v>
      </c>
      <c r="D19">
        <f>SUM(((SUMPRODUCT((Cronograma!C$2:C$30=$A19)*1)=0)*NOT(SUMPRODUCT((Cronograma!D$2:D$30=$A19)*(Cronograma!$B$2:$B$30=FALSE))&gt;0)),(((SUMPRODUCT((Cronograma!D$2:D$30=$A19)*1)=0)*NOT(SUMPRODUCT((Cronograma!C$2:C$30=$A19)*(Cronograma!$B$2:$B$30=TRUE))&gt;0))+((SUMPRODUCT((Cronograma!D$2:D$30=$A19)*1)=0)*NOT(SUMPRODUCT((Cronograma!E$2:E$30=$A19)*(Cronograma!$B$2:$B$30=FALSE))&gt;0))&gt;0),(((SUMPRODUCT((Cronograma!E$2:E$30=$A19)*1)=0)*NOT(SUMPRODUCT((Cronograma!D$2:D$30=$A19)*(Cronograma!$B$2:$B$30=TRUE))&gt;0))+((SUMPRODUCT((Cronograma!E$2:E$30=$A19)*1)=0)*NOT(SUMPRODUCT((Cronograma!F$2:F$30=$A19)*(Cronograma!$B$2:$B$30=FALSE))&gt;0))&gt;0),(((SUMPRODUCT((Cronograma!F$2:F$30=$A19)*1)=0)*NOT(SUMPRODUCT((Cronograma!E$2:E$30=$A19)*(Cronograma!$B$2:$B$30=TRUE))&gt;0))+((SUMPRODUCT((Cronograma!F$2:F$30=$A19)*1)=0)*NOT(SUMPRODUCT((Cronograma!G$2:G$30=$A19)*(Cronograma!$B$2:$B$30=FALSE))&gt;0))&gt;0),(((SUMPRODUCT((Cronograma!G$2:G$30=$A19)*1)=0)*NOT(SUMPRODUCT((Cronograma!F$2:F$30=$A19)*(Cronograma!$B$2:$B$30=TRUE))&gt;0))+((SUMPRODUCT((Cronograma!G$2:G$30=$A19)*1)=0)*NOT(SUMPRODUCT((Cronograma!H$2:H$30=$A19)*(Cronograma!$B$2:$B$30=FALSE))&gt;0))&gt;0),(((SUMPRODUCT((Cronograma!H$2:H$30=$A19)*1)=0)*NOT(SUMPRODUCT((Cronograma!G$2:G$30=$A19)*(Cronograma!$B$2:$B$30=TRUE))&gt;0))+((SUMPRODUCT((Cronograma!H$2:H$30=$A19)*1)=0)*NOT(SUMPRODUCT((Cronograma!I$2:I$30=$A19)*(Cronograma!$B$2:$B$30=FALSE))&gt;0))&gt;0),(((SUMPRODUCT((Cronograma!I$2:I$30=$A19)*1)=0)*NOT(SUMPRODUCT((Cronograma!H$2:H$30=$A19)*(Cronograma!$B$2:$B$30=TRUE))&gt;0))+((SUMPRODUCT((Cronograma!I$2:I$30=$A19)*1)=0)*NOT(SUMPRODUCT((Cronograma!J$2:J$30=$A19)*(Cronograma!$B$2:$B$30=FALSE))&gt;0))&gt;0),(((SUMPRODUCT((Cronograma!J$2:J$30=$A19)*1)=0)*NOT(SUMPRODUCT((Cronograma!I$2:I$30=$A19)*(Cronograma!$B$2:$B$30=TRUE))&gt;0))+((SUMPRODUCT((Cronograma!J$2:J$30=$A19)*1)=0)*NOT(SUMPRODUCT((Cronograma!K$2:K$30=$A19)*(Cronograma!$B$2:$B$30=FALSE))&gt;0))&gt;0),(((SUMPRODUCT((Cronograma!K$2:K$30=$A19)*1)=0)*NOT(SUMPRODUCT((Cronograma!J$2:J$30=$A19)*(Cronograma!$B$2:$B$30=TRUE))&gt;0))+((SUMPRODUCT((Cronograma!K$2:K$30=$A19)*1)=0)*NOT(SUMPRODUCT((Cronograma!L$2:L$30=$A19)*(Cronograma!$B$2:$B$30=FALSE))&gt;0))&gt;0),(((SUMPRODUCT((Cronograma!L$2:L$30=$A19)*1)=0)*NOT(SUMPRODUCT((Cronograma!K$2:K$30=$A19)*(Cronograma!$B$2:$B$30=TRUE))&gt;0))+((SUMPRODUCT((Cronograma!L$2:L$30=$A19)*1)=0)*NOT(SUMPRODUCT((Cronograma!M$2:M$30=$A19)*(Cronograma!$B$2:$B$30=FALSE))&gt;0))&gt;0),(((SUMPRODUCT((Cronograma!M$2:M$30=$A19)*1)=0)*NOT(SUMPRODUCT((Cronograma!L$2:L$30=$A19)*(Cronograma!$B$2:$B$30=TRUE))&gt;0))+((SUMPRODUCT((Cronograma!M$2:M$30=$A19)*1)=0)*NOT(SUMPRODUCT((Cronograma!N$2:N$30=$A19)*(Cronograma!$B$2:$B$30=FALSE))&gt;0))&gt;0),(((SUMPRODUCT((Cronograma!N$2:N$30=$A19)*1)=0)*NOT(SUMPRODUCT((Cronograma!M$2:M$30=$A19)*(Cronograma!$B$2:$B$30=TRUE))&gt;0))+((SUMPRODUCT((Cronograma!N$2:N$30=$A19)*1)=0)*NOT(SUMPRODUCT((Cronograma!O$2:O$30=$A19)*(Cronograma!$B$2:$B$30=FALSE))&gt;0))&gt;0),(((SUMPRODUCT((Cronograma!O$2:O$30=$A19)*1)=0)*NOT(SUMPRODUCT((Cronograma!N$2:N$30=$A19)*(Cronograma!$B$2:$B$30=TRUE))&gt;0))+((SUMPRODUCT((Cronograma!O$2:O$30=$A19)*1)=0)*NOT(SUMPRODUCT((Cronograma!P$2:P$30=$A19)*(Cronograma!$B$2:$B$30=FALSE))&gt;0))&gt;0),(((SUMPRODUCT((Cronograma!P$2:P$30=$A19)*1)=0)*NOT(SUMPRODUCT((Cronograma!O$2:O$30=$A19)*(Cronograma!$B$2:$B$30=TRUE))&gt;0))+((SUMPRODUCT((Cronograma!P$2:P$30=$A19)*1)=0)*NOT(SUMPRODUCT((Cronograma!Q$2:Q$30=$A19)*(Cronograma!$B$2:$B$30=FALSE))&gt;0))&gt;0),((SUMPRODUCT((Cronograma!Q$2:Q$30=$A19)*1)=0)*NOT(SUMPRODUCT((Cronograma!P$2:P$30=$A19)*(Cronograma!$B$2:$B$30=TRUE))&gt;0)))</f>
        <v>0</v>
      </c>
      <c r="E19" cm="1">
        <f t="array" ref="E19">_xlfn.XLOOKUP("Xiomara",Cronograma!C2:C30,Cronograma!A2:A30,"")</f>
        <v>0</v>
      </c>
      <c r="F19" cm="1">
        <f t="array" ref="F19">_xlfn.XLOOKUP("Xiomara",Cronograma!D2:D30,Cronograma!A2:A30,"")</f>
        <v>0</v>
      </c>
      <c r="G19" cm="1">
        <f t="array" ref="G19">_xlfn.XLOOKUP("Xiomara",Cronograma!E2:E30,Cronograma!A2:A30,"")</f>
        <v>0</v>
      </c>
      <c r="H19" cm="1">
        <f t="array" ref="H19">_xlfn.XLOOKUP("Xiomara",Cronograma!F2:F30,Cronograma!A2:A30,"")</f>
        <v>0</v>
      </c>
      <c r="I19" cm="1">
        <f t="array" ref="I19">_xlfn.XLOOKUP("Xiomara",Cronograma!G2:G30,Cronograma!A2:A30,"")</f>
        <v>0</v>
      </c>
      <c r="J19" cm="1">
        <f t="array" ref="J19">_xlfn.XLOOKUP("Xiomara",Cronograma!H2:H30,Cronograma!A2:A30,"")</f>
        <v>0</v>
      </c>
      <c r="K19" cm="1">
        <f t="array" ref="K19">_xlfn.XLOOKUP("Xiomara",Cronograma!I2:I30,Cronograma!A2:A30,"")</f>
        <v>0</v>
      </c>
      <c r="L19" cm="1">
        <f t="array" ref="L19">_xlfn.XLOOKUP("Xiomara",Cronograma!J2:J30,Cronograma!A2:A30,"")</f>
        <v>0</v>
      </c>
      <c r="M19" cm="1">
        <f t="array" ref="M19">_xlfn.XLOOKUP("Xiomara",Cronograma!K2:K30,Cronograma!A2:A30,"")</f>
        <v>0</v>
      </c>
      <c r="N19" cm="1">
        <f t="array" ref="N19">_xlfn.XLOOKUP("Xiomara",Cronograma!L2:L30,Cronograma!A2:A30,"")</f>
        <v>0</v>
      </c>
      <c r="O19" cm="1">
        <f t="array" ref="O19">_xlfn.XLOOKUP("Xiomara",Cronograma!M2:M30,Cronograma!A2:A30,"")</f>
        <v>0</v>
      </c>
      <c r="P19" cm="1">
        <f t="array" ref="P19">_xlfn.XLOOKUP("Xiomara",Cronograma!N2:N30,Cronograma!A2:A30,"")</f>
        <v>0</v>
      </c>
      <c r="Q19" cm="1">
        <f t="array" ref="Q19">_xlfn.XLOOKUP("Xiomara",Cronograma!O2:O30,Cronograma!A2:A30,"")</f>
        <v>0</v>
      </c>
      <c r="R19" cm="1">
        <f t="array" ref="R19">_xlfn.XLOOKUP("Xiomara",Cronograma!P2:P30,Cronograma!A2:A30,"")</f>
        <v>0</v>
      </c>
      <c r="S19" cm="1">
        <f t="array" ref="S19">_xlfn.XLOOKUP("Xiomara",Cronograma!Q2:Q30,Cronograma!A2:A30,"")</f>
        <v>0</v>
      </c>
    </row>
    <row r="20" spans="1:19">
      <c r="A20" t="s">
        <v>32</v>
      </c>
      <c r="B20">
        <f>SUMPRODUCT((Cronograma!B2:B30=FALSE) * (COUNTIF(E20:S20, Cronograma!A2:A30)))</f>
        <v>0</v>
      </c>
      <c r="C20">
        <f>SUMPRODUCT((Cronograma!B2:B30=TRUE) * (COUNTIF(E20:S20, Cronograma!A2:A30)))</f>
        <v>0</v>
      </c>
      <c r="D20">
        <f>SUM(((SUMPRODUCT((Cronograma!C$2:C$30=$A20)*1)=0)*NOT(SUMPRODUCT((Cronograma!D$2:D$30=$A20)*(Cronograma!$B$2:$B$30=FALSE))&gt;0)),(((SUMPRODUCT((Cronograma!D$2:D$30=$A20)*1)=0)*NOT(SUMPRODUCT((Cronograma!C$2:C$30=$A20)*(Cronograma!$B$2:$B$30=TRUE))&gt;0))+((SUMPRODUCT((Cronograma!D$2:D$30=$A20)*1)=0)*NOT(SUMPRODUCT((Cronograma!E$2:E$30=$A20)*(Cronograma!$B$2:$B$30=FALSE))&gt;0))&gt;0),(((SUMPRODUCT((Cronograma!E$2:E$30=$A20)*1)=0)*NOT(SUMPRODUCT((Cronograma!D$2:D$30=$A20)*(Cronograma!$B$2:$B$30=TRUE))&gt;0))+((SUMPRODUCT((Cronograma!E$2:E$30=$A20)*1)=0)*NOT(SUMPRODUCT((Cronograma!F$2:F$30=$A20)*(Cronograma!$B$2:$B$30=FALSE))&gt;0))&gt;0),(((SUMPRODUCT((Cronograma!F$2:F$30=$A20)*1)=0)*NOT(SUMPRODUCT((Cronograma!E$2:E$30=$A20)*(Cronograma!$B$2:$B$30=TRUE))&gt;0))+((SUMPRODUCT((Cronograma!F$2:F$30=$A20)*1)=0)*NOT(SUMPRODUCT((Cronograma!G$2:G$30=$A20)*(Cronograma!$B$2:$B$30=FALSE))&gt;0))&gt;0),(((SUMPRODUCT((Cronograma!G$2:G$30=$A20)*1)=0)*NOT(SUMPRODUCT((Cronograma!F$2:F$30=$A20)*(Cronograma!$B$2:$B$30=TRUE))&gt;0))+((SUMPRODUCT((Cronograma!G$2:G$30=$A20)*1)=0)*NOT(SUMPRODUCT((Cronograma!H$2:H$30=$A20)*(Cronograma!$B$2:$B$30=FALSE))&gt;0))&gt;0),(((SUMPRODUCT((Cronograma!H$2:H$30=$A20)*1)=0)*NOT(SUMPRODUCT((Cronograma!G$2:G$30=$A20)*(Cronograma!$B$2:$B$30=TRUE))&gt;0))+((SUMPRODUCT((Cronograma!H$2:H$30=$A20)*1)=0)*NOT(SUMPRODUCT((Cronograma!I$2:I$30=$A20)*(Cronograma!$B$2:$B$30=FALSE))&gt;0))&gt;0),(((SUMPRODUCT((Cronograma!I$2:I$30=$A20)*1)=0)*NOT(SUMPRODUCT((Cronograma!H$2:H$30=$A20)*(Cronograma!$B$2:$B$30=TRUE))&gt;0))+((SUMPRODUCT((Cronograma!I$2:I$30=$A20)*1)=0)*NOT(SUMPRODUCT((Cronograma!J$2:J$30=$A20)*(Cronograma!$B$2:$B$30=FALSE))&gt;0))&gt;0),(((SUMPRODUCT((Cronograma!J$2:J$30=$A20)*1)=0)*NOT(SUMPRODUCT((Cronograma!I$2:I$30=$A20)*(Cronograma!$B$2:$B$30=TRUE))&gt;0))+((SUMPRODUCT((Cronograma!J$2:J$30=$A20)*1)=0)*NOT(SUMPRODUCT((Cronograma!K$2:K$30=$A20)*(Cronograma!$B$2:$B$30=FALSE))&gt;0))&gt;0),(((SUMPRODUCT((Cronograma!K$2:K$30=$A20)*1)=0)*NOT(SUMPRODUCT((Cronograma!J$2:J$30=$A20)*(Cronograma!$B$2:$B$30=TRUE))&gt;0))+((SUMPRODUCT((Cronograma!K$2:K$30=$A20)*1)=0)*NOT(SUMPRODUCT((Cronograma!L$2:L$30=$A20)*(Cronograma!$B$2:$B$30=FALSE))&gt;0))&gt;0),(((SUMPRODUCT((Cronograma!L$2:L$30=$A20)*1)=0)*NOT(SUMPRODUCT((Cronograma!K$2:K$30=$A20)*(Cronograma!$B$2:$B$30=TRUE))&gt;0))+((SUMPRODUCT((Cronograma!L$2:L$30=$A20)*1)=0)*NOT(SUMPRODUCT((Cronograma!M$2:M$30=$A20)*(Cronograma!$B$2:$B$30=FALSE))&gt;0))&gt;0),(((SUMPRODUCT((Cronograma!M$2:M$30=$A20)*1)=0)*NOT(SUMPRODUCT((Cronograma!L$2:L$30=$A20)*(Cronograma!$B$2:$B$30=TRUE))&gt;0))+((SUMPRODUCT((Cronograma!M$2:M$30=$A20)*1)=0)*NOT(SUMPRODUCT((Cronograma!N$2:N$30=$A20)*(Cronograma!$B$2:$B$30=FALSE))&gt;0))&gt;0),(((SUMPRODUCT((Cronograma!N$2:N$30=$A20)*1)=0)*NOT(SUMPRODUCT((Cronograma!M$2:M$30=$A20)*(Cronograma!$B$2:$B$30=TRUE))&gt;0))+((SUMPRODUCT((Cronograma!N$2:N$30=$A20)*1)=0)*NOT(SUMPRODUCT((Cronograma!O$2:O$30=$A20)*(Cronograma!$B$2:$B$30=FALSE))&gt;0))&gt;0),(((SUMPRODUCT((Cronograma!O$2:O$30=$A20)*1)=0)*NOT(SUMPRODUCT((Cronograma!N$2:N$30=$A20)*(Cronograma!$B$2:$B$30=TRUE))&gt;0))+((SUMPRODUCT((Cronograma!O$2:O$30=$A20)*1)=0)*NOT(SUMPRODUCT((Cronograma!P$2:P$30=$A20)*(Cronograma!$B$2:$B$30=FALSE))&gt;0))&gt;0),(((SUMPRODUCT((Cronograma!P$2:P$30=$A20)*1)=0)*NOT(SUMPRODUCT((Cronograma!O$2:O$30=$A20)*(Cronograma!$B$2:$B$30=TRUE))&gt;0))+((SUMPRODUCT((Cronograma!P$2:P$30=$A20)*1)=0)*NOT(SUMPRODUCT((Cronograma!Q$2:Q$30=$A20)*(Cronograma!$B$2:$B$30=FALSE))&gt;0))&gt;0),((SUMPRODUCT((Cronograma!Q$2:Q$30=$A20)*1)=0)*NOT(SUMPRODUCT((Cronograma!P$2:P$30=$A20)*(Cronograma!$B$2:$B$30=TRUE))&gt;0)))</f>
        <v>0</v>
      </c>
      <c r="E20" cm="1">
        <f t="array" ref="E20">_xlfn.XLOOKUP("Yenifer",Cronograma!C2:C30,Cronograma!A2:A30,"")</f>
        <v>0</v>
      </c>
      <c r="F20" cm="1">
        <f t="array" ref="F20">_xlfn.XLOOKUP("Yenifer",Cronograma!D2:D30,Cronograma!A2:A30,"")</f>
        <v>0</v>
      </c>
      <c r="G20" cm="1">
        <f t="array" ref="G20">_xlfn.XLOOKUP("Yenifer",Cronograma!E2:E30,Cronograma!A2:A30,"")</f>
        <v>0</v>
      </c>
      <c r="H20" cm="1">
        <f t="array" ref="H20">_xlfn.XLOOKUP("Yenifer",Cronograma!F2:F30,Cronograma!A2:A30,"")</f>
        <v>0</v>
      </c>
      <c r="I20" cm="1">
        <f t="array" ref="I20">_xlfn.XLOOKUP("Yenifer",Cronograma!G2:G30,Cronograma!A2:A30,"")</f>
        <v>0</v>
      </c>
      <c r="J20" cm="1">
        <f t="array" ref="J20">_xlfn.XLOOKUP("Yenifer",Cronograma!H2:H30,Cronograma!A2:A30,"")</f>
        <v>0</v>
      </c>
      <c r="K20" cm="1">
        <f t="array" ref="K20">_xlfn.XLOOKUP("Yenifer",Cronograma!I2:I30,Cronograma!A2:A30,"")</f>
        <v>0</v>
      </c>
      <c r="L20" cm="1">
        <f t="array" ref="L20">_xlfn.XLOOKUP("Yenifer",Cronograma!J2:J30,Cronograma!A2:A30,"")</f>
        <v>0</v>
      </c>
      <c r="M20" cm="1">
        <f t="array" ref="M20">_xlfn.XLOOKUP("Yenifer",Cronograma!K2:K30,Cronograma!A2:A30,"")</f>
        <v>0</v>
      </c>
      <c r="N20" cm="1">
        <f t="array" ref="N20">_xlfn.XLOOKUP("Yenifer",Cronograma!L2:L30,Cronograma!A2:A30,"")</f>
        <v>0</v>
      </c>
      <c r="O20" cm="1">
        <f t="array" ref="O20">_xlfn.XLOOKUP("Yenifer",Cronograma!M2:M30,Cronograma!A2:A30,"")</f>
        <v>0</v>
      </c>
      <c r="P20" cm="1">
        <f t="array" ref="P20">_xlfn.XLOOKUP("Yenifer",Cronograma!N2:N30,Cronograma!A2:A30,"")</f>
        <v>0</v>
      </c>
      <c r="Q20" cm="1">
        <f t="array" ref="Q20">_xlfn.XLOOKUP("Yenifer",Cronograma!O2:O30,Cronograma!A2:A30,"")</f>
        <v>0</v>
      </c>
      <c r="R20" cm="1">
        <f t="array" ref="R20">_xlfn.XLOOKUP("Yenifer",Cronograma!P2:P30,Cronograma!A2:A30,"")</f>
        <v>0</v>
      </c>
      <c r="S20" cm="1">
        <f t="array" ref="S20">_xlfn.XLOOKUP("Yenifer",Cronograma!Q2:Q30,Cronograma!A2:A30,"")</f>
        <v>0</v>
      </c>
    </row>
    <row r="21" spans="1:19">
      <c r="A21" t="s">
        <v>48</v>
      </c>
      <c r="B21">
        <f>SUMPRODUCT((Cronograma!B2:B30=FALSE) * (COUNTIF(E21:S21, Cronograma!A2:A30)))</f>
        <v>0</v>
      </c>
      <c r="C21">
        <f>SUMPRODUCT((Cronograma!B2:B30=TRUE) * (COUNTIF(E21:S21, Cronograma!A2:A30)))</f>
        <v>0</v>
      </c>
      <c r="D21">
        <f>SUM(((SUMPRODUCT((Cronograma!C$2:C$30=$A21)*1)=0)*NOT(SUMPRODUCT((Cronograma!D$2:D$30=$A21)*(Cronograma!$B$2:$B$30=FALSE))&gt;0)),(((SUMPRODUCT((Cronograma!D$2:D$30=$A21)*1)=0)*NOT(SUMPRODUCT((Cronograma!C$2:C$30=$A21)*(Cronograma!$B$2:$B$30=TRUE))&gt;0))+((SUMPRODUCT((Cronograma!D$2:D$30=$A21)*1)=0)*NOT(SUMPRODUCT((Cronograma!E$2:E$30=$A21)*(Cronograma!$B$2:$B$30=FALSE))&gt;0))&gt;0),(((SUMPRODUCT((Cronograma!E$2:E$30=$A21)*1)=0)*NOT(SUMPRODUCT((Cronograma!D$2:D$30=$A21)*(Cronograma!$B$2:$B$30=TRUE))&gt;0))+((SUMPRODUCT((Cronograma!E$2:E$30=$A21)*1)=0)*NOT(SUMPRODUCT((Cronograma!F$2:F$30=$A21)*(Cronograma!$B$2:$B$30=FALSE))&gt;0))&gt;0),(((SUMPRODUCT((Cronograma!F$2:F$30=$A21)*1)=0)*NOT(SUMPRODUCT((Cronograma!E$2:E$30=$A21)*(Cronograma!$B$2:$B$30=TRUE))&gt;0))+((SUMPRODUCT((Cronograma!F$2:F$30=$A21)*1)=0)*NOT(SUMPRODUCT((Cronograma!G$2:G$30=$A21)*(Cronograma!$B$2:$B$30=FALSE))&gt;0))&gt;0),(((SUMPRODUCT((Cronograma!G$2:G$30=$A21)*1)=0)*NOT(SUMPRODUCT((Cronograma!F$2:F$30=$A21)*(Cronograma!$B$2:$B$30=TRUE))&gt;0))+((SUMPRODUCT((Cronograma!G$2:G$30=$A21)*1)=0)*NOT(SUMPRODUCT((Cronograma!H$2:H$30=$A21)*(Cronograma!$B$2:$B$30=FALSE))&gt;0))&gt;0),(((SUMPRODUCT((Cronograma!H$2:H$30=$A21)*1)=0)*NOT(SUMPRODUCT((Cronograma!G$2:G$30=$A21)*(Cronograma!$B$2:$B$30=TRUE))&gt;0))+((SUMPRODUCT((Cronograma!H$2:H$30=$A21)*1)=0)*NOT(SUMPRODUCT((Cronograma!I$2:I$30=$A21)*(Cronograma!$B$2:$B$30=FALSE))&gt;0))&gt;0),(((SUMPRODUCT((Cronograma!I$2:I$30=$A21)*1)=0)*NOT(SUMPRODUCT((Cronograma!H$2:H$30=$A21)*(Cronograma!$B$2:$B$30=TRUE))&gt;0))+((SUMPRODUCT((Cronograma!I$2:I$30=$A21)*1)=0)*NOT(SUMPRODUCT((Cronograma!J$2:J$30=$A21)*(Cronograma!$B$2:$B$30=FALSE))&gt;0))&gt;0),(((SUMPRODUCT((Cronograma!J$2:J$30=$A21)*1)=0)*NOT(SUMPRODUCT((Cronograma!I$2:I$30=$A21)*(Cronograma!$B$2:$B$30=TRUE))&gt;0))+((SUMPRODUCT((Cronograma!J$2:J$30=$A21)*1)=0)*NOT(SUMPRODUCT((Cronograma!K$2:K$30=$A21)*(Cronograma!$B$2:$B$30=FALSE))&gt;0))&gt;0),(((SUMPRODUCT((Cronograma!K$2:K$30=$A21)*1)=0)*NOT(SUMPRODUCT((Cronograma!J$2:J$30=$A21)*(Cronograma!$B$2:$B$30=TRUE))&gt;0))+((SUMPRODUCT((Cronograma!K$2:K$30=$A21)*1)=0)*NOT(SUMPRODUCT((Cronograma!L$2:L$30=$A21)*(Cronograma!$B$2:$B$30=FALSE))&gt;0))&gt;0),(((SUMPRODUCT((Cronograma!L$2:L$30=$A21)*1)=0)*NOT(SUMPRODUCT((Cronograma!K$2:K$30=$A21)*(Cronograma!$B$2:$B$30=TRUE))&gt;0))+((SUMPRODUCT((Cronograma!L$2:L$30=$A21)*1)=0)*NOT(SUMPRODUCT((Cronograma!M$2:M$30=$A21)*(Cronograma!$B$2:$B$30=FALSE))&gt;0))&gt;0),(((SUMPRODUCT((Cronograma!M$2:M$30=$A21)*1)=0)*NOT(SUMPRODUCT((Cronograma!L$2:L$30=$A21)*(Cronograma!$B$2:$B$30=TRUE))&gt;0))+((SUMPRODUCT((Cronograma!M$2:M$30=$A21)*1)=0)*NOT(SUMPRODUCT((Cronograma!N$2:N$30=$A21)*(Cronograma!$B$2:$B$30=FALSE))&gt;0))&gt;0),(((SUMPRODUCT((Cronograma!N$2:N$30=$A21)*1)=0)*NOT(SUMPRODUCT((Cronograma!M$2:M$30=$A21)*(Cronograma!$B$2:$B$30=TRUE))&gt;0))+((SUMPRODUCT((Cronograma!N$2:N$30=$A21)*1)=0)*NOT(SUMPRODUCT((Cronograma!O$2:O$30=$A21)*(Cronograma!$B$2:$B$30=FALSE))&gt;0))&gt;0),(((SUMPRODUCT((Cronograma!O$2:O$30=$A21)*1)=0)*NOT(SUMPRODUCT((Cronograma!N$2:N$30=$A21)*(Cronograma!$B$2:$B$30=TRUE))&gt;0))+((SUMPRODUCT((Cronograma!O$2:O$30=$A21)*1)=0)*NOT(SUMPRODUCT((Cronograma!P$2:P$30=$A21)*(Cronograma!$B$2:$B$30=FALSE))&gt;0))&gt;0),(((SUMPRODUCT((Cronograma!P$2:P$30=$A21)*1)=0)*NOT(SUMPRODUCT((Cronograma!O$2:O$30=$A21)*(Cronograma!$B$2:$B$30=TRUE))&gt;0))+((SUMPRODUCT((Cronograma!P$2:P$30=$A21)*1)=0)*NOT(SUMPRODUCT((Cronograma!Q$2:Q$30=$A21)*(Cronograma!$B$2:$B$30=FALSE))&gt;0))&gt;0),((SUMPRODUCT((Cronograma!Q$2:Q$30=$A21)*1)=0)*NOT(SUMPRODUCT((Cronograma!P$2:P$30=$A21)*(Cronograma!$B$2:$B$30=TRUE))&gt;0)))</f>
        <v>0</v>
      </c>
      <c r="E21" cm="1">
        <f t="array" ref="E21">_xlfn.XLOOKUP("Claudia Milena",Cronograma!C2:C30,Cronograma!A2:A30,"")</f>
        <v>0</v>
      </c>
      <c r="F21" cm="1">
        <f t="array" ref="F21">_xlfn.XLOOKUP("Claudia Milena",Cronograma!D2:D30,Cronograma!A2:A30,"")</f>
        <v>0</v>
      </c>
      <c r="G21" cm="1">
        <f t="array" ref="G21">_xlfn.XLOOKUP("Claudia Milena",Cronograma!E2:E30,Cronograma!A2:A30,"")</f>
        <v>0</v>
      </c>
      <c r="H21" cm="1">
        <f t="array" ref="H21">_xlfn.XLOOKUP("Claudia Milena",Cronograma!F2:F30,Cronograma!A2:A30,"")</f>
        <v>0</v>
      </c>
      <c r="I21" cm="1">
        <f t="array" ref="I21">_xlfn.XLOOKUP("Claudia Milena",Cronograma!G2:G30,Cronograma!A2:A30,"")</f>
        <v>0</v>
      </c>
      <c r="J21" cm="1">
        <f t="array" ref="J21">_xlfn.XLOOKUP("Claudia Milena",Cronograma!H2:H30,Cronograma!A2:A30,"")</f>
        <v>0</v>
      </c>
      <c r="K21" cm="1">
        <f t="array" ref="K21">_xlfn.XLOOKUP("Claudia Milena",Cronograma!I2:I30,Cronograma!A2:A30,"")</f>
        <v>0</v>
      </c>
      <c r="L21" cm="1">
        <f t="array" ref="L21">_xlfn.XLOOKUP("Claudia Milena",Cronograma!J2:J30,Cronograma!A2:A30,"")</f>
        <v>0</v>
      </c>
      <c r="M21" cm="1">
        <f t="array" ref="M21">_xlfn.XLOOKUP("Claudia Milena",Cronograma!K2:K30,Cronograma!A2:A30,"")</f>
        <v>0</v>
      </c>
      <c r="N21" cm="1">
        <f t="array" ref="N21">_xlfn.XLOOKUP("Claudia Milena",Cronograma!L2:L30,Cronograma!A2:A30,"")</f>
        <v>0</v>
      </c>
      <c r="O21" cm="1">
        <f t="array" ref="O21">_xlfn.XLOOKUP("Claudia Milena",Cronograma!M2:M30,Cronograma!A2:A30,"")</f>
        <v>0</v>
      </c>
      <c r="P21" cm="1">
        <f t="array" ref="P21">_xlfn.XLOOKUP("Claudia Milena",Cronograma!N2:N30,Cronograma!A2:A30,"")</f>
        <v>0</v>
      </c>
      <c r="Q21" cm="1">
        <f t="array" ref="Q21">_xlfn.XLOOKUP("Claudia Milena",Cronograma!O2:O30,Cronograma!A2:A30,"")</f>
        <v>0</v>
      </c>
      <c r="R21" cm="1">
        <f t="array" ref="R21">_xlfn.XLOOKUP("Claudia Milena",Cronograma!P2:P30,Cronograma!A2:A30,"")</f>
        <v>0</v>
      </c>
      <c r="S21" cm="1">
        <f t="array" ref="S21">_xlfn.XLOOKUP("Claudia Milena",Cronograma!Q2:Q30,Cronograma!A2:A30,"")</f>
        <v>0</v>
      </c>
    </row>
    <row r="22" spans="1:19">
      <c r="A22" t="s">
        <v>56</v>
      </c>
      <c r="B22">
        <f>SUMPRODUCT((Cronograma!B2:B30=FALSE) * (COUNTIF(E22:S22, Cronograma!A2:A30)))</f>
        <v>0</v>
      </c>
      <c r="C22">
        <f>SUMPRODUCT((Cronograma!B2:B30=TRUE) * (COUNTIF(E22:S22, Cronograma!A2:A30)))</f>
        <v>0</v>
      </c>
      <c r="D22">
        <f>SUM(((SUMPRODUCT((Cronograma!C$2:C$30=$A22)*1)=0)*NOT(SUMPRODUCT((Cronograma!D$2:D$30=$A22)*(Cronograma!$B$2:$B$30=FALSE))&gt;0)),(((SUMPRODUCT((Cronograma!D$2:D$30=$A22)*1)=0)*NOT(SUMPRODUCT((Cronograma!C$2:C$30=$A22)*(Cronograma!$B$2:$B$30=TRUE))&gt;0))+((SUMPRODUCT((Cronograma!D$2:D$30=$A22)*1)=0)*NOT(SUMPRODUCT((Cronograma!E$2:E$30=$A22)*(Cronograma!$B$2:$B$30=FALSE))&gt;0))&gt;0),(((SUMPRODUCT((Cronograma!E$2:E$30=$A22)*1)=0)*NOT(SUMPRODUCT((Cronograma!D$2:D$30=$A22)*(Cronograma!$B$2:$B$30=TRUE))&gt;0))+((SUMPRODUCT((Cronograma!E$2:E$30=$A22)*1)=0)*NOT(SUMPRODUCT((Cronograma!F$2:F$30=$A22)*(Cronograma!$B$2:$B$30=FALSE))&gt;0))&gt;0),(((SUMPRODUCT((Cronograma!F$2:F$30=$A22)*1)=0)*NOT(SUMPRODUCT((Cronograma!E$2:E$30=$A22)*(Cronograma!$B$2:$B$30=TRUE))&gt;0))+((SUMPRODUCT((Cronograma!F$2:F$30=$A22)*1)=0)*NOT(SUMPRODUCT((Cronograma!G$2:G$30=$A22)*(Cronograma!$B$2:$B$30=FALSE))&gt;0))&gt;0),(((SUMPRODUCT((Cronograma!G$2:G$30=$A22)*1)=0)*NOT(SUMPRODUCT((Cronograma!F$2:F$30=$A22)*(Cronograma!$B$2:$B$30=TRUE))&gt;0))+((SUMPRODUCT((Cronograma!G$2:G$30=$A22)*1)=0)*NOT(SUMPRODUCT((Cronograma!H$2:H$30=$A22)*(Cronograma!$B$2:$B$30=FALSE))&gt;0))&gt;0),(((SUMPRODUCT((Cronograma!H$2:H$30=$A22)*1)=0)*NOT(SUMPRODUCT((Cronograma!G$2:G$30=$A22)*(Cronograma!$B$2:$B$30=TRUE))&gt;0))+((SUMPRODUCT((Cronograma!H$2:H$30=$A22)*1)=0)*NOT(SUMPRODUCT((Cronograma!I$2:I$30=$A22)*(Cronograma!$B$2:$B$30=FALSE))&gt;0))&gt;0),(((SUMPRODUCT((Cronograma!I$2:I$30=$A22)*1)=0)*NOT(SUMPRODUCT((Cronograma!H$2:H$30=$A22)*(Cronograma!$B$2:$B$30=TRUE))&gt;0))+((SUMPRODUCT((Cronograma!I$2:I$30=$A22)*1)=0)*NOT(SUMPRODUCT((Cronograma!J$2:J$30=$A22)*(Cronograma!$B$2:$B$30=FALSE))&gt;0))&gt;0),(((SUMPRODUCT((Cronograma!J$2:J$30=$A22)*1)=0)*NOT(SUMPRODUCT((Cronograma!I$2:I$30=$A22)*(Cronograma!$B$2:$B$30=TRUE))&gt;0))+((SUMPRODUCT((Cronograma!J$2:J$30=$A22)*1)=0)*NOT(SUMPRODUCT((Cronograma!K$2:K$30=$A22)*(Cronograma!$B$2:$B$30=FALSE))&gt;0))&gt;0),(((SUMPRODUCT((Cronograma!K$2:K$30=$A22)*1)=0)*NOT(SUMPRODUCT((Cronograma!J$2:J$30=$A22)*(Cronograma!$B$2:$B$30=TRUE))&gt;0))+((SUMPRODUCT((Cronograma!K$2:K$30=$A22)*1)=0)*NOT(SUMPRODUCT((Cronograma!L$2:L$30=$A22)*(Cronograma!$B$2:$B$30=FALSE))&gt;0))&gt;0),(((SUMPRODUCT((Cronograma!L$2:L$30=$A22)*1)=0)*NOT(SUMPRODUCT((Cronograma!K$2:K$30=$A22)*(Cronograma!$B$2:$B$30=TRUE))&gt;0))+((SUMPRODUCT((Cronograma!L$2:L$30=$A22)*1)=0)*NOT(SUMPRODUCT((Cronograma!M$2:M$30=$A22)*(Cronograma!$B$2:$B$30=FALSE))&gt;0))&gt;0),(((SUMPRODUCT((Cronograma!M$2:M$30=$A22)*1)=0)*NOT(SUMPRODUCT((Cronograma!L$2:L$30=$A22)*(Cronograma!$B$2:$B$30=TRUE))&gt;0))+((SUMPRODUCT((Cronograma!M$2:M$30=$A22)*1)=0)*NOT(SUMPRODUCT((Cronograma!N$2:N$30=$A22)*(Cronograma!$B$2:$B$30=FALSE))&gt;0))&gt;0),(((SUMPRODUCT((Cronograma!N$2:N$30=$A22)*1)=0)*NOT(SUMPRODUCT((Cronograma!M$2:M$30=$A22)*(Cronograma!$B$2:$B$30=TRUE))&gt;0))+((SUMPRODUCT((Cronograma!N$2:N$30=$A22)*1)=0)*NOT(SUMPRODUCT((Cronograma!O$2:O$30=$A22)*(Cronograma!$B$2:$B$30=FALSE))&gt;0))&gt;0),(((SUMPRODUCT((Cronograma!O$2:O$30=$A22)*1)=0)*NOT(SUMPRODUCT((Cronograma!N$2:N$30=$A22)*(Cronograma!$B$2:$B$30=TRUE))&gt;0))+((SUMPRODUCT((Cronograma!O$2:O$30=$A22)*1)=0)*NOT(SUMPRODUCT((Cronograma!P$2:P$30=$A22)*(Cronograma!$B$2:$B$30=FALSE))&gt;0))&gt;0),(((SUMPRODUCT((Cronograma!P$2:P$30=$A22)*1)=0)*NOT(SUMPRODUCT((Cronograma!O$2:O$30=$A22)*(Cronograma!$B$2:$B$30=TRUE))&gt;0))+((SUMPRODUCT((Cronograma!P$2:P$30=$A22)*1)=0)*NOT(SUMPRODUCT((Cronograma!Q$2:Q$30=$A22)*(Cronograma!$B$2:$B$30=FALSE))&gt;0))&gt;0),((SUMPRODUCT((Cronograma!Q$2:Q$30=$A22)*1)=0)*NOT(SUMPRODUCT((Cronograma!P$2:P$30=$A22)*(Cronograma!$B$2:$B$30=TRUE))&gt;0)))</f>
        <v>0</v>
      </c>
      <c r="E22" cm="1">
        <f t="array" ref="E22">_xlfn.XLOOKUP("Erika Mayerlli",Cronograma!C2:C30,Cronograma!A2:A30,"")</f>
        <v>0</v>
      </c>
      <c r="F22" cm="1">
        <f t="array" ref="F22">_xlfn.XLOOKUP("Erika Mayerlli",Cronograma!D2:D30,Cronograma!A2:A30,"")</f>
        <v>0</v>
      </c>
      <c r="G22" cm="1">
        <f t="array" ref="G22">_xlfn.XLOOKUP("Erika Mayerlli",Cronograma!E2:E30,Cronograma!A2:A30,"")</f>
        <v>0</v>
      </c>
      <c r="H22" cm="1">
        <f t="array" ref="H22">_xlfn.XLOOKUP("Erika Mayerlli",Cronograma!F2:F30,Cronograma!A2:A30,"")</f>
        <v>0</v>
      </c>
      <c r="I22" cm="1">
        <f t="array" ref="I22">_xlfn.XLOOKUP("Erika Mayerlli",Cronograma!G2:G30,Cronograma!A2:A30,"")</f>
        <v>0</v>
      </c>
      <c r="J22" cm="1">
        <f t="array" ref="J22">_xlfn.XLOOKUP("Erika Mayerlli",Cronograma!H2:H30,Cronograma!A2:A30,"")</f>
        <v>0</v>
      </c>
      <c r="K22" cm="1">
        <f t="array" ref="K22">_xlfn.XLOOKUP("Erika Mayerlli",Cronograma!I2:I30,Cronograma!A2:A30,"")</f>
        <v>0</v>
      </c>
      <c r="L22" cm="1">
        <f t="array" ref="L22">_xlfn.XLOOKUP("Erika Mayerlli",Cronograma!J2:J30,Cronograma!A2:A30,"")</f>
        <v>0</v>
      </c>
      <c r="M22" cm="1">
        <f t="array" ref="M22">_xlfn.XLOOKUP("Erika Mayerlli",Cronograma!K2:K30,Cronograma!A2:A30,"")</f>
        <v>0</v>
      </c>
      <c r="N22" cm="1">
        <f t="array" ref="N22">_xlfn.XLOOKUP("Erika Mayerlli",Cronograma!L2:L30,Cronograma!A2:A30,"")</f>
        <v>0</v>
      </c>
      <c r="O22" cm="1">
        <f t="array" ref="O22">_xlfn.XLOOKUP("Erika Mayerlli",Cronograma!M2:M30,Cronograma!A2:A30,"")</f>
        <v>0</v>
      </c>
      <c r="P22" cm="1">
        <f t="array" ref="P22">_xlfn.XLOOKUP("Erika Mayerlli",Cronograma!N2:N30,Cronograma!A2:A30,"")</f>
        <v>0</v>
      </c>
      <c r="Q22" cm="1">
        <f t="array" ref="Q22">_xlfn.XLOOKUP("Erika Mayerlli",Cronograma!O2:O30,Cronograma!A2:A30,"")</f>
        <v>0</v>
      </c>
      <c r="R22" cm="1">
        <f t="array" ref="R22">_xlfn.XLOOKUP("Erika Mayerlli",Cronograma!P2:P30,Cronograma!A2:A30,"")</f>
        <v>0</v>
      </c>
      <c r="S22" cm="1">
        <f t="array" ref="S22">_xlfn.XLOOKUP("Erika Mayerlli",Cronograma!Q2:Q30,Cronograma!A2:A30,"")</f>
        <v>0</v>
      </c>
    </row>
    <row r="23" spans="1:19">
      <c r="A23" t="s">
        <v>51</v>
      </c>
      <c r="B23">
        <f>SUMPRODUCT((Cronograma!B2:B30=FALSE) * (COUNTIF(E23:S23, Cronograma!A2:A30)))</f>
        <v>0</v>
      </c>
      <c r="C23">
        <f>SUMPRODUCT((Cronograma!B2:B30=TRUE) * (COUNTIF(E23:S23, Cronograma!A2:A30)))</f>
        <v>0</v>
      </c>
      <c r="D23">
        <f>SUM(((SUMPRODUCT((Cronograma!C$2:C$30=$A23)*1)=0)*NOT(SUMPRODUCT((Cronograma!D$2:D$30=$A23)*(Cronograma!$B$2:$B$30=FALSE))&gt;0)),(((SUMPRODUCT((Cronograma!D$2:D$30=$A23)*1)=0)*NOT(SUMPRODUCT((Cronograma!C$2:C$30=$A23)*(Cronograma!$B$2:$B$30=TRUE))&gt;0))+((SUMPRODUCT((Cronograma!D$2:D$30=$A23)*1)=0)*NOT(SUMPRODUCT((Cronograma!E$2:E$30=$A23)*(Cronograma!$B$2:$B$30=FALSE))&gt;0))&gt;0),(((SUMPRODUCT((Cronograma!E$2:E$30=$A23)*1)=0)*NOT(SUMPRODUCT((Cronograma!D$2:D$30=$A23)*(Cronograma!$B$2:$B$30=TRUE))&gt;0))+((SUMPRODUCT((Cronograma!E$2:E$30=$A23)*1)=0)*NOT(SUMPRODUCT((Cronograma!F$2:F$30=$A23)*(Cronograma!$B$2:$B$30=FALSE))&gt;0))&gt;0),(((SUMPRODUCT((Cronograma!F$2:F$30=$A23)*1)=0)*NOT(SUMPRODUCT((Cronograma!E$2:E$30=$A23)*(Cronograma!$B$2:$B$30=TRUE))&gt;0))+((SUMPRODUCT((Cronograma!F$2:F$30=$A23)*1)=0)*NOT(SUMPRODUCT((Cronograma!G$2:G$30=$A23)*(Cronograma!$B$2:$B$30=FALSE))&gt;0))&gt;0),(((SUMPRODUCT((Cronograma!G$2:G$30=$A23)*1)=0)*NOT(SUMPRODUCT((Cronograma!F$2:F$30=$A23)*(Cronograma!$B$2:$B$30=TRUE))&gt;0))+((SUMPRODUCT((Cronograma!G$2:G$30=$A23)*1)=0)*NOT(SUMPRODUCT((Cronograma!H$2:H$30=$A23)*(Cronograma!$B$2:$B$30=FALSE))&gt;0))&gt;0),(((SUMPRODUCT((Cronograma!H$2:H$30=$A23)*1)=0)*NOT(SUMPRODUCT((Cronograma!G$2:G$30=$A23)*(Cronograma!$B$2:$B$30=TRUE))&gt;0))+((SUMPRODUCT((Cronograma!H$2:H$30=$A23)*1)=0)*NOT(SUMPRODUCT((Cronograma!I$2:I$30=$A23)*(Cronograma!$B$2:$B$30=FALSE))&gt;0))&gt;0),(((SUMPRODUCT((Cronograma!I$2:I$30=$A23)*1)=0)*NOT(SUMPRODUCT((Cronograma!H$2:H$30=$A23)*(Cronograma!$B$2:$B$30=TRUE))&gt;0))+((SUMPRODUCT((Cronograma!I$2:I$30=$A23)*1)=0)*NOT(SUMPRODUCT((Cronograma!J$2:J$30=$A23)*(Cronograma!$B$2:$B$30=FALSE))&gt;0))&gt;0),(((SUMPRODUCT((Cronograma!J$2:J$30=$A23)*1)=0)*NOT(SUMPRODUCT((Cronograma!I$2:I$30=$A23)*(Cronograma!$B$2:$B$30=TRUE))&gt;0))+((SUMPRODUCT((Cronograma!J$2:J$30=$A23)*1)=0)*NOT(SUMPRODUCT((Cronograma!K$2:K$30=$A23)*(Cronograma!$B$2:$B$30=FALSE))&gt;0))&gt;0),(((SUMPRODUCT((Cronograma!K$2:K$30=$A23)*1)=0)*NOT(SUMPRODUCT((Cronograma!J$2:J$30=$A23)*(Cronograma!$B$2:$B$30=TRUE))&gt;0))+((SUMPRODUCT((Cronograma!K$2:K$30=$A23)*1)=0)*NOT(SUMPRODUCT((Cronograma!L$2:L$30=$A23)*(Cronograma!$B$2:$B$30=FALSE))&gt;0))&gt;0),(((SUMPRODUCT((Cronograma!L$2:L$30=$A23)*1)=0)*NOT(SUMPRODUCT((Cronograma!K$2:K$30=$A23)*(Cronograma!$B$2:$B$30=TRUE))&gt;0))+((SUMPRODUCT((Cronograma!L$2:L$30=$A23)*1)=0)*NOT(SUMPRODUCT((Cronograma!M$2:M$30=$A23)*(Cronograma!$B$2:$B$30=FALSE))&gt;0))&gt;0),(((SUMPRODUCT((Cronograma!M$2:M$30=$A23)*1)=0)*NOT(SUMPRODUCT((Cronograma!L$2:L$30=$A23)*(Cronograma!$B$2:$B$30=TRUE))&gt;0))+((SUMPRODUCT((Cronograma!M$2:M$30=$A23)*1)=0)*NOT(SUMPRODUCT((Cronograma!N$2:N$30=$A23)*(Cronograma!$B$2:$B$30=FALSE))&gt;0))&gt;0),(((SUMPRODUCT((Cronograma!N$2:N$30=$A23)*1)=0)*NOT(SUMPRODUCT((Cronograma!M$2:M$30=$A23)*(Cronograma!$B$2:$B$30=TRUE))&gt;0))+((SUMPRODUCT((Cronograma!N$2:N$30=$A23)*1)=0)*NOT(SUMPRODUCT((Cronograma!O$2:O$30=$A23)*(Cronograma!$B$2:$B$30=FALSE))&gt;0))&gt;0),(((SUMPRODUCT((Cronograma!O$2:O$30=$A23)*1)=0)*NOT(SUMPRODUCT((Cronograma!N$2:N$30=$A23)*(Cronograma!$B$2:$B$30=TRUE))&gt;0))+((SUMPRODUCT((Cronograma!O$2:O$30=$A23)*1)=0)*NOT(SUMPRODUCT((Cronograma!P$2:P$30=$A23)*(Cronograma!$B$2:$B$30=FALSE))&gt;0))&gt;0),(((SUMPRODUCT((Cronograma!P$2:P$30=$A23)*1)=0)*NOT(SUMPRODUCT((Cronograma!O$2:O$30=$A23)*(Cronograma!$B$2:$B$30=TRUE))&gt;0))+((SUMPRODUCT((Cronograma!P$2:P$30=$A23)*1)=0)*NOT(SUMPRODUCT((Cronograma!Q$2:Q$30=$A23)*(Cronograma!$B$2:$B$30=FALSE))&gt;0))&gt;0),((SUMPRODUCT((Cronograma!Q$2:Q$30=$A23)*1)=0)*NOT(SUMPRODUCT((Cronograma!P$2:P$30=$A23)*(Cronograma!$B$2:$B$30=TRUE))&gt;0)))</f>
        <v>0</v>
      </c>
      <c r="E23" cm="1">
        <f t="array" ref="E23">_xlfn.XLOOKUP("Gilvert",Cronograma!C2:C30,Cronograma!A2:A30,"")</f>
        <v>0</v>
      </c>
      <c r="F23" cm="1">
        <f t="array" ref="F23">_xlfn.XLOOKUP("Gilvert",Cronograma!D2:D30,Cronograma!A2:A30,"")</f>
        <v>0</v>
      </c>
      <c r="G23" cm="1">
        <f t="array" ref="G23">_xlfn.XLOOKUP("Gilvert",Cronograma!E2:E30,Cronograma!A2:A30,"")</f>
        <v>0</v>
      </c>
      <c r="H23" cm="1">
        <f t="array" ref="H23">_xlfn.XLOOKUP("Gilvert",Cronograma!F2:F30,Cronograma!A2:A30,"")</f>
        <v>0</v>
      </c>
      <c r="I23" cm="1">
        <f t="array" ref="I23">_xlfn.XLOOKUP("Gilvert",Cronograma!G2:G30,Cronograma!A2:A30,"")</f>
        <v>0</v>
      </c>
      <c r="J23" cm="1">
        <f t="array" ref="J23">_xlfn.XLOOKUP("Gilvert",Cronograma!H2:H30,Cronograma!A2:A30,"")</f>
        <v>0</v>
      </c>
      <c r="K23" cm="1">
        <f t="array" ref="K23">_xlfn.XLOOKUP("Gilvert",Cronograma!I2:I30,Cronograma!A2:A30,"")</f>
        <v>0</v>
      </c>
      <c r="L23" cm="1">
        <f t="array" ref="L23">_xlfn.XLOOKUP("Gilvert",Cronograma!J2:J30,Cronograma!A2:A30,"")</f>
        <v>0</v>
      </c>
      <c r="M23" cm="1">
        <f t="array" ref="M23">_xlfn.XLOOKUP("Gilvert",Cronograma!K2:K30,Cronograma!A2:A30,"")</f>
        <v>0</v>
      </c>
      <c r="N23" cm="1">
        <f t="array" ref="N23">_xlfn.XLOOKUP("Gilvert",Cronograma!L2:L30,Cronograma!A2:A30,"")</f>
        <v>0</v>
      </c>
      <c r="O23" cm="1">
        <f t="array" ref="O23">_xlfn.XLOOKUP("Gilvert",Cronograma!M2:M30,Cronograma!A2:A30,"")</f>
        <v>0</v>
      </c>
      <c r="P23" cm="1">
        <f t="array" ref="P23">_xlfn.XLOOKUP("Gilvert",Cronograma!N2:N30,Cronograma!A2:A30,"")</f>
        <v>0</v>
      </c>
      <c r="Q23" cm="1">
        <f t="array" ref="Q23">_xlfn.XLOOKUP("Gilvert",Cronograma!O2:O30,Cronograma!A2:A30,"")</f>
        <v>0</v>
      </c>
      <c r="R23" cm="1">
        <f t="array" ref="R23">_xlfn.XLOOKUP("Gilvert",Cronograma!P2:P30,Cronograma!A2:A30,"")</f>
        <v>0</v>
      </c>
      <c r="S23" cm="1">
        <f t="array" ref="S23">_xlfn.XLOOKUP("Gilvert",Cronograma!Q2:Q30,Cronograma!A2:A30,"")</f>
        <v>0</v>
      </c>
    </row>
    <row r="24" spans="1:19">
      <c r="A24" t="s">
        <v>52</v>
      </c>
      <c r="B24">
        <f>SUMPRODUCT((Cronograma!B2:B30=FALSE) * (COUNTIF(E24:S24, Cronograma!A2:A30)))</f>
        <v>0</v>
      </c>
      <c r="C24">
        <f>SUMPRODUCT((Cronograma!B2:B30=TRUE) * (COUNTIF(E24:S24, Cronograma!A2:A30)))</f>
        <v>0</v>
      </c>
      <c r="D24">
        <f>SUM(((SUMPRODUCT((Cronograma!C$2:C$30=$A24)*1)=0)*NOT(SUMPRODUCT((Cronograma!D$2:D$30=$A24)*(Cronograma!$B$2:$B$30=FALSE))&gt;0)),(((SUMPRODUCT((Cronograma!D$2:D$30=$A24)*1)=0)*NOT(SUMPRODUCT((Cronograma!C$2:C$30=$A24)*(Cronograma!$B$2:$B$30=TRUE))&gt;0))+((SUMPRODUCT((Cronograma!D$2:D$30=$A24)*1)=0)*NOT(SUMPRODUCT((Cronograma!E$2:E$30=$A24)*(Cronograma!$B$2:$B$30=FALSE))&gt;0))&gt;0),(((SUMPRODUCT((Cronograma!E$2:E$30=$A24)*1)=0)*NOT(SUMPRODUCT((Cronograma!D$2:D$30=$A24)*(Cronograma!$B$2:$B$30=TRUE))&gt;0))+((SUMPRODUCT((Cronograma!E$2:E$30=$A24)*1)=0)*NOT(SUMPRODUCT((Cronograma!F$2:F$30=$A24)*(Cronograma!$B$2:$B$30=FALSE))&gt;0))&gt;0),(((SUMPRODUCT((Cronograma!F$2:F$30=$A24)*1)=0)*NOT(SUMPRODUCT((Cronograma!E$2:E$30=$A24)*(Cronograma!$B$2:$B$30=TRUE))&gt;0))+((SUMPRODUCT((Cronograma!F$2:F$30=$A24)*1)=0)*NOT(SUMPRODUCT((Cronograma!G$2:G$30=$A24)*(Cronograma!$B$2:$B$30=FALSE))&gt;0))&gt;0),(((SUMPRODUCT((Cronograma!G$2:G$30=$A24)*1)=0)*NOT(SUMPRODUCT((Cronograma!F$2:F$30=$A24)*(Cronograma!$B$2:$B$30=TRUE))&gt;0))+((SUMPRODUCT((Cronograma!G$2:G$30=$A24)*1)=0)*NOT(SUMPRODUCT((Cronograma!H$2:H$30=$A24)*(Cronograma!$B$2:$B$30=FALSE))&gt;0))&gt;0),(((SUMPRODUCT((Cronograma!H$2:H$30=$A24)*1)=0)*NOT(SUMPRODUCT((Cronograma!G$2:G$30=$A24)*(Cronograma!$B$2:$B$30=TRUE))&gt;0))+((SUMPRODUCT((Cronograma!H$2:H$30=$A24)*1)=0)*NOT(SUMPRODUCT((Cronograma!I$2:I$30=$A24)*(Cronograma!$B$2:$B$30=FALSE))&gt;0))&gt;0),(((SUMPRODUCT((Cronograma!I$2:I$30=$A24)*1)=0)*NOT(SUMPRODUCT((Cronograma!H$2:H$30=$A24)*(Cronograma!$B$2:$B$30=TRUE))&gt;0))+((SUMPRODUCT((Cronograma!I$2:I$30=$A24)*1)=0)*NOT(SUMPRODUCT((Cronograma!J$2:J$30=$A24)*(Cronograma!$B$2:$B$30=FALSE))&gt;0))&gt;0),(((SUMPRODUCT((Cronograma!J$2:J$30=$A24)*1)=0)*NOT(SUMPRODUCT((Cronograma!I$2:I$30=$A24)*(Cronograma!$B$2:$B$30=TRUE))&gt;0))+((SUMPRODUCT((Cronograma!J$2:J$30=$A24)*1)=0)*NOT(SUMPRODUCT((Cronograma!K$2:K$30=$A24)*(Cronograma!$B$2:$B$30=FALSE))&gt;0))&gt;0),(((SUMPRODUCT((Cronograma!K$2:K$30=$A24)*1)=0)*NOT(SUMPRODUCT((Cronograma!J$2:J$30=$A24)*(Cronograma!$B$2:$B$30=TRUE))&gt;0))+((SUMPRODUCT((Cronograma!K$2:K$30=$A24)*1)=0)*NOT(SUMPRODUCT((Cronograma!L$2:L$30=$A24)*(Cronograma!$B$2:$B$30=FALSE))&gt;0))&gt;0),(((SUMPRODUCT((Cronograma!L$2:L$30=$A24)*1)=0)*NOT(SUMPRODUCT((Cronograma!K$2:K$30=$A24)*(Cronograma!$B$2:$B$30=TRUE))&gt;0))+((SUMPRODUCT((Cronograma!L$2:L$30=$A24)*1)=0)*NOT(SUMPRODUCT((Cronograma!M$2:M$30=$A24)*(Cronograma!$B$2:$B$30=FALSE))&gt;0))&gt;0),(((SUMPRODUCT((Cronograma!M$2:M$30=$A24)*1)=0)*NOT(SUMPRODUCT((Cronograma!L$2:L$30=$A24)*(Cronograma!$B$2:$B$30=TRUE))&gt;0))+((SUMPRODUCT((Cronograma!M$2:M$30=$A24)*1)=0)*NOT(SUMPRODUCT((Cronograma!N$2:N$30=$A24)*(Cronograma!$B$2:$B$30=FALSE))&gt;0))&gt;0),(((SUMPRODUCT((Cronograma!N$2:N$30=$A24)*1)=0)*NOT(SUMPRODUCT((Cronograma!M$2:M$30=$A24)*(Cronograma!$B$2:$B$30=TRUE))&gt;0))+((SUMPRODUCT((Cronograma!N$2:N$30=$A24)*1)=0)*NOT(SUMPRODUCT((Cronograma!O$2:O$30=$A24)*(Cronograma!$B$2:$B$30=FALSE))&gt;0))&gt;0),(((SUMPRODUCT((Cronograma!O$2:O$30=$A24)*1)=0)*NOT(SUMPRODUCT((Cronograma!N$2:N$30=$A24)*(Cronograma!$B$2:$B$30=TRUE))&gt;0))+((SUMPRODUCT((Cronograma!O$2:O$30=$A24)*1)=0)*NOT(SUMPRODUCT((Cronograma!P$2:P$30=$A24)*(Cronograma!$B$2:$B$30=FALSE))&gt;0))&gt;0),(((SUMPRODUCT((Cronograma!P$2:P$30=$A24)*1)=0)*NOT(SUMPRODUCT((Cronograma!O$2:O$30=$A24)*(Cronograma!$B$2:$B$30=TRUE))&gt;0))+((SUMPRODUCT((Cronograma!P$2:P$30=$A24)*1)=0)*NOT(SUMPRODUCT((Cronograma!Q$2:Q$30=$A24)*(Cronograma!$B$2:$B$30=FALSE))&gt;0))&gt;0),((SUMPRODUCT((Cronograma!Q$2:Q$30=$A24)*1)=0)*NOT(SUMPRODUCT((Cronograma!P$2:P$30=$A24)*(Cronograma!$B$2:$B$30=TRUE))&gt;0)))</f>
        <v>0</v>
      </c>
      <c r="E24" cm="1">
        <f t="array" ref="E24">_xlfn.XLOOKUP("Betsy Mauribel",Cronograma!C2:C30,Cronograma!A2:A30,"")</f>
        <v>0</v>
      </c>
      <c r="F24" cm="1">
        <f t="array" ref="F24">_xlfn.XLOOKUP("Betsy Mauribel",Cronograma!D2:D30,Cronograma!A2:A30,"")</f>
        <v>0</v>
      </c>
      <c r="G24" cm="1">
        <f t="array" ref="G24">_xlfn.XLOOKUP("Betsy Mauribel",Cronograma!E2:E30,Cronograma!A2:A30,"")</f>
        <v>0</v>
      </c>
      <c r="H24" cm="1">
        <f t="array" ref="H24">_xlfn.XLOOKUP("Betsy Mauribel",Cronograma!F2:F30,Cronograma!A2:A30,"")</f>
        <v>0</v>
      </c>
      <c r="I24" cm="1">
        <f t="array" ref="I24">_xlfn.XLOOKUP("Betsy Mauribel",Cronograma!G2:G30,Cronograma!A2:A30,"")</f>
        <v>0</v>
      </c>
      <c r="J24" cm="1">
        <f t="array" ref="J24">_xlfn.XLOOKUP("Betsy Mauribel",Cronograma!H2:H30,Cronograma!A2:A30,"")</f>
        <v>0</v>
      </c>
      <c r="K24" cm="1">
        <f t="array" ref="K24">_xlfn.XLOOKUP("Betsy Mauribel",Cronograma!I2:I30,Cronograma!A2:A30,"")</f>
        <v>0</v>
      </c>
      <c r="L24" cm="1">
        <f t="array" ref="L24">_xlfn.XLOOKUP("Betsy Mauribel",Cronograma!J2:J30,Cronograma!A2:A30,"")</f>
        <v>0</v>
      </c>
      <c r="M24" cm="1">
        <f t="array" ref="M24">_xlfn.XLOOKUP("Betsy Mauribel",Cronograma!K2:K30,Cronograma!A2:A30,"")</f>
        <v>0</v>
      </c>
      <c r="N24" cm="1">
        <f t="array" ref="N24">_xlfn.XLOOKUP("Betsy Mauribel",Cronograma!L2:L30,Cronograma!A2:A30,"")</f>
        <v>0</v>
      </c>
      <c r="O24" cm="1">
        <f t="array" ref="O24">_xlfn.XLOOKUP("Betsy Mauribel",Cronograma!M2:M30,Cronograma!A2:A30,"")</f>
        <v>0</v>
      </c>
      <c r="P24" cm="1">
        <f t="array" ref="P24">_xlfn.XLOOKUP("Betsy Mauribel",Cronograma!N2:N30,Cronograma!A2:A30,"")</f>
        <v>0</v>
      </c>
      <c r="Q24" cm="1">
        <f t="array" ref="Q24">_xlfn.XLOOKUP("Betsy Mauribel",Cronograma!O2:O30,Cronograma!A2:A30,"")</f>
        <v>0</v>
      </c>
      <c r="R24" cm="1">
        <f t="array" ref="R24">_xlfn.XLOOKUP("Betsy Mauribel",Cronograma!P2:P30,Cronograma!A2:A30,"")</f>
        <v>0</v>
      </c>
      <c r="S24" cm="1">
        <f t="array" ref="S24">_xlfn.XLOOKUP("Betsy Mauribel",Cronograma!Q2:Q30,Cronograma!A2:A30,"")</f>
        <v>0</v>
      </c>
    </row>
    <row r="25" spans="1:19">
      <c r="A25" t="s">
        <v>45</v>
      </c>
      <c r="B25">
        <f>SUMPRODUCT((Cronograma!B2:B30=FALSE) * (COUNTIF(E25:S25, Cronograma!A2:A30)))</f>
        <v>0</v>
      </c>
      <c r="C25">
        <f>SUMPRODUCT((Cronograma!B2:B30=TRUE) * (COUNTIF(E25:S25, Cronograma!A2:A30)))</f>
        <v>0</v>
      </c>
      <c r="D25">
        <f>SUM(((SUMPRODUCT((Cronograma!C$2:C$30=$A25)*1)=0)*NOT(SUMPRODUCT((Cronograma!D$2:D$30=$A25)*(Cronograma!$B$2:$B$30=FALSE))&gt;0)),(((SUMPRODUCT((Cronograma!D$2:D$30=$A25)*1)=0)*NOT(SUMPRODUCT((Cronograma!C$2:C$30=$A25)*(Cronograma!$B$2:$B$30=TRUE))&gt;0))+((SUMPRODUCT((Cronograma!D$2:D$30=$A25)*1)=0)*NOT(SUMPRODUCT((Cronograma!E$2:E$30=$A25)*(Cronograma!$B$2:$B$30=FALSE))&gt;0))&gt;0),(((SUMPRODUCT((Cronograma!E$2:E$30=$A25)*1)=0)*NOT(SUMPRODUCT((Cronograma!D$2:D$30=$A25)*(Cronograma!$B$2:$B$30=TRUE))&gt;0))+((SUMPRODUCT((Cronograma!E$2:E$30=$A25)*1)=0)*NOT(SUMPRODUCT((Cronograma!F$2:F$30=$A25)*(Cronograma!$B$2:$B$30=FALSE))&gt;0))&gt;0),(((SUMPRODUCT((Cronograma!F$2:F$30=$A25)*1)=0)*NOT(SUMPRODUCT((Cronograma!E$2:E$30=$A25)*(Cronograma!$B$2:$B$30=TRUE))&gt;0))+((SUMPRODUCT((Cronograma!F$2:F$30=$A25)*1)=0)*NOT(SUMPRODUCT((Cronograma!G$2:G$30=$A25)*(Cronograma!$B$2:$B$30=FALSE))&gt;0))&gt;0),(((SUMPRODUCT((Cronograma!G$2:G$30=$A25)*1)=0)*NOT(SUMPRODUCT((Cronograma!F$2:F$30=$A25)*(Cronograma!$B$2:$B$30=TRUE))&gt;0))+((SUMPRODUCT((Cronograma!G$2:G$30=$A25)*1)=0)*NOT(SUMPRODUCT((Cronograma!H$2:H$30=$A25)*(Cronograma!$B$2:$B$30=FALSE))&gt;0))&gt;0),(((SUMPRODUCT((Cronograma!H$2:H$30=$A25)*1)=0)*NOT(SUMPRODUCT((Cronograma!G$2:G$30=$A25)*(Cronograma!$B$2:$B$30=TRUE))&gt;0))+((SUMPRODUCT((Cronograma!H$2:H$30=$A25)*1)=0)*NOT(SUMPRODUCT((Cronograma!I$2:I$30=$A25)*(Cronograma!$B$2:$B$30=FALSE))&gt;0))&gt;0),(((SUMPRODUCT((Cronograma!I$2:I$30=$A25)*1)=0)*NOT(SUMPRODUCT((Cronograma!H$2:H$30=$A25)*(Cronograma!$B$2:$B$30=TRUE))&gt;0))+((SUMPRODUCT((Cronograma!I$2:I$30=$A25)*1)=0)*NOT(SUMPRODUCT((Cronograma!J$2:J$30=$A25)*(Cronograma!$B$2:$B$30=FALSE))&gt;0))&gt;0),(((SUMPRODUCT((Cronograma!J$2:J$30=$A25)*1)=0)*NOT(SUMPRODUCT((Cronograma!I$2:I$30=$A25)*(Cronograma!$B$2:$B$30=TRUE))&gt;0))+((SUMPRODUCT((Cronograma!J$2:J$30=$A25)*1)=0)*NOT(SUMPRODUCT((Cronograma!K$2:K$30=$A25)*(Cronograma!$B$2:$B$30=FALSE))&gt;0))&gt;0),(((SUMPRODUCT((Cronograma!K$2:K$30=$A25)*1)=0)*NOT(SUMPRODUCT((Cronograma!J$2:J$30=$A25)*(Cronograma!$B$2:$B$30=TRUE))&gt;0))+((SUMPRODUCT((Cronograma!K$2:K$30=$A25)*1)=0)*NOT(SUMPRODUCT((Cronograma!L$2:L$30=$A25)*(Cronograma!$B$2:$B$30=FALSE))&gt;0))&gt;0),(((SUMPRODUCT((Cronograma!L$2:L$30=$A25)*1)=0)*NOT(SUMPRODUCT((Cronograma!K$2:K$30=$A25)*(Cronograma!$B$2:$B$30=TRUE))&gt;0))+((SUMPRODUCT((Cronograma!L$2:L$30=$A25)*1)=0)*NOT(SUMPRODUCT((Cronograma!M$2:M$30=$A25)*(Cronograma!$B$2:$B$30=FALSE))&gt;0))&gt;0),(((SUMPRODUCT((Cronograma!M$2:M$30=$A25)*1)=0)*NOT(SUMPRODUCT((Cronograma!L$2:L$30=$A25)*(Cronograma!$B$2:$B$30=TRUE))&gt;0))+((SUMPRODUCT((Cronograma!M$2:M$30=$A25)*1)=0)*NOT(SUMPRODUCT((Cronograma!N$2:N$30=$A25)*(Cronograma!$B$2:$B$30=FALSE))&gt;0))&gt;0),(((SUMPRODUCT((Cronograma!N$2:N$30=$A25)*1)=0)*NOT(SUMPRODUCT((Cronograma!M$2:M$30=$A25)*(Cronograma!$B$2:$B$30=TRUE))&gt;0))+((SUMPRODUCT((Cronograma!N$2:N$30=$A25)*1)=0)*NOT(SUMPRODUCT((Cronograma!O$2:O$30=$A25)*(Cronograma!$B$2:$B$30=FALSE))&gt;0))&gt;0),(((SUMPRODUCT((Cronograma!O$2:O$30=$A25)*1)=0)*NOT(SUMPRODUCT((Cronograma!N$2:N$30=$A25)*(Cronograma!$B$2:$B$30=TRUE))&gt;0))+((SUMPRODUCT((Cronograma!O$2:O$30=$A25)*1)=0)*NOT(SUMPRODUCT((Cronograma!P$2:P$30=$A25)*(Cronograma!$B$2:$B$30=FALSE))&gt;0))&gt;0),(((SUMPRODUCT((Cronograma!P$2:P$30=$A25)*1)=0)*NOT(SUMPRODUCT((Cronograma!O$2:O$30=$A25)*(Cronograma!$B$2:$B$30=TRUE))&gt;0))+((SUMPRODUCT((Cronograma!P$2:P$30=$A25)*1)=0)*NOT(SUMPRODUCT((Cronograma!Q$2:Q$30=$A25)*(Cronograma!$B$2:$B$30=FALSE))&gt;0))&gt;0),((SUMPRODUCT((Cronograma!Q$2:Q$30=$A25)*1)=0)*NOT(SUMPRODUCT((Cronograma!P$2:P$30=$A25)*(Cronograma!$B$2:$B$30=TRUE))&gt;0)))</f>
        <v>0</v>
      </c>
      <c r="E25" cm="1">
        <f t="array" ref="E25">_xlfn.XLOOKUP("Angie Marcela",Cronograma!C2:C30,Cronograma!A2:A30,"")</f>
        <v>0</v>
      </c>
      <c r="F25" cm="1">
        <f t="array" ref="F25">_xlfn.XLOOKUP("Angie Marcela",Cronograma!D2:D30,Cronograma!A2:A30,"")</f>
        <v>0</v>
      </c>
      <c r="G25" cm="1">
        <f t="array" ref="G25">_xlfn.XLOOKUP("Angie Marcela",Cronograma!E2:E30,Cronograma!A2:A30,"")</f>
        <v>0</v>
      </c>
      <c r="H25" cm="1">
        <f t="array" ref="H25">_xlfn.XLOOKUP("Angie Marcela",Cronograma!F2:F30,Cronograma!A2:A30,"")</f>
        <v>0</v>
      </c>
      <c r="I25" cm="1">
        <f t="array" ref="I25">_xlfn.XLOOKUP("Angie Marcela",Cronograma!G2:G30,Cronograma!A2:A30,"")</f>
        <v>0</v>
      </c>
      <c r="J25" cm="1">
        <f t="array" ref="J25">_xlfn.XLOOKUP("Angie Marcela",Cronograma!H2:H30,Cronograma!A2:A30,"")</f>
        <v>0</v>
      </c>
      <c r="K25" cm="1">
        <f t="array" ref="K25">_xlfn.XLOOKUP("Angie Marcela",Cronograma!I2:I30,Cronograma!A2:A30,"")</f>
        <v>0</v>
      </c>
      <c r="L25" cm="1">
        <f t="array" ref="L25">_xlfn.XLOOKUP("Angie Marcela",Cronograma!J2:J30,Cronograma!A2:A30,"")</f>
        <v>0</v>
      </c>
      <c r="M25" cm="1">
        <f t="array" ref="M25">_xlfn.XLOOKUP("Angie Marcela",Cronograma!K2:K30,Cronograma!A2:A30,"")</f>
        <v>0</v>
      </c>
      <c r="N25" cm="1">
        <f t="array" ref="N25">_xlfn.XLOOKUP("Angie Marcela",Cronograma!L2:L30,Cronograma!A2:A30,"")</f>
        <v>0</v>
      </c>
      <c r="O25" cm="1">
        <f t="array" ref="O25">_xlfn.XLOOKUP("Angie Marcela",Cronograma!M2:M30,Cronograma!A2:A30,"")</f>
        <v>0</v>
      </c>
      <c r="P25" cm="1">
        <f t="array" ref="P25">_xlfn.XLOOKUP("Angie Marcela",Cronograma!N2:N30,Cronograma!A2:A30,"")</f>
        <v>0</v>
      </c>
      <c r="Q25" cm="1">
        <f t="array" ref="Q25">_xlfn.XLOOKUP("Angie Marcela",Cronograma!O2:O30,Cronograma!A2:A30,"")</f>
        <v>0</v>
      </c>
      <c r="R25" cm="1">
        <f t="array" ref="R25">_xlfn.XLOOKUP("Angie Marcela",Cronograma!P2:P30,Cronograma!A2:A30,"")</f>
        <v>0</v>
      </c>
      <c r="S25" cm="1">
        <f t="array" ref="S25">_xlfn.XLOOKUP("Angie Marcela",Cronograma!Q2:Q30,Cronograma!A2:A30,"")</f>
        <v>0</v>
      </c>
    </row>
    <row r="26" spans="1:19">
      <c r="A26" t="s">
        <v>58</v>
      </c>
      <c r="B26">
        <f>SUMPRODUCT((Cronograma!B2:B30=FALSE) * (COUNTIF(E26:S26, Cronograma!A2:A30)))</f>
        <v>0</v>
      </c>
      <c r="C26">
        <f>SUMPRODUCT((Cronograma!B2:B30=TRUE) * (COUNTIF(E26:S26, Cronograma!A2:A30)))</f>
        <v>0</v>
      </c>
      <c r="D26">
        <f>SUM(((SUMPRODUCT((Cronograma!C$2:C$30=$A26)*1)=0)*NOT(SUMPRODUCT((Cronograma!D$2:D$30=$A26)*(Cronograma!$B$2:$B$30=FALSE))&gt;0)),(((SUMPRODUCT((Cronograma!D$2:D$30=$A26)*1)=0)*NOT(SUMPRODUCT((Cronograma!C$2:C$30=$A26)*(Cronograma!$B$2:$B$30=TRUE))&gt;0))+((SUMPRODUCT((Cronograma!D$2:D$30=$A26)*1)=0)*NOT(SUMPRODUCT((Cronograma!E$2:E$30=$A26)*(Cronograma!$B$2:$B$30=FALSE))&gt;0))&gt;0),(((SUMPRODUCT((Cronograma!E$2:E$30=$A26)*1)=0)*NOT(SUMPRODUCT((Cronograma!D$2:D$30=$A26)*(Cronograma!$B$2:$B$30=TRUE))&gt;0))+((SUMPRODUCT((Cronograma!E$2:E$30=$A26)*1)=0)*NOT(SUMPRODUCT((Cronograma!F$2:F$30=$A26)*(Cronograma!$B$2:$B$30=FALSE))&gt;0))&gt;0),(((SUMPRODUCT((Cronograma!F$2:F$30=$A26)*1)=0)*NOT(SUMPRODUCT((Cronograma!E$2:E$30=$A26)*(Cronograma!$B$2:$B$30=TRUE))&gt;0))+((SUMPRODUCT((Cronograma!F$2:F$30=$A26)*1)=0)*NOT(SUMPRODUCT((Cronograma!G$2:G$30=$A26)*(Cronograma!$B$2:$B$30=FALSE))&gt;0))&gt;0),(((SUMPRODUCT((Cronograma!G$2:G$30=$A26)*1)=0)*NOT(SUMPRODUCT((Cronograma!F$2:F$30=$A26)*(Cronograma!$B$2:$B$30=TRUE))&gt;0))+((SUMPRODUCT((Cronograma!G$2:G$30=$A26)*1)=0)*NOT(SUMPRODUCT((Cronograma!H$2:H$30=$A26)*(Cronograma!$B$2:$B$30=FALSE))&gt;0))&gt;0),(((SUMPRODUCT((Cronograma!H$2:H$30=$A26)*1)=0)*NOT(SUMPRODUCT((Cronograma!G$2:G$30=$A26)*(Cronograma!$B$2:$B$30=TRUE))&gt;0))+((SUMPRODUCT((Cronograma!H$2:H$30=$A26)*1)=0)*NOT(SUMPRODUCT((Cronograma!I$2:I$30=$A26)*(Cronograma!$B$2:$B$30=FALSE))&gt;0))&gt;0),(((SUMPRODUCT((Cronograma!I$2:I$30=$A26)*1)=0)*NOT(SUMPRODUCT((Cronograma!H$2:H$30=$A26)*(Cronograma!$B$2:$B$30=TRUE))&gt;0))+((SUMPRODUCT((Cronograma!I$2:I$30=$A26)*1)=0)*NOT(SUMPRODUCT((Cronograma!J$2:J$30=$A26)*(Cronograma!$B$2:$B$30=FALSE))&gt;0))&gt;0),(((SUMPRODUCT((Cronograma!J$2:J$30=$A26)*1)=0)*NOT(SUMPRODUCT((Cronograma!I$2:I$30=$A26)*(Cronograma!$B$2:$B$30=TRUE))&gt;0))+((SUMPRODUCT((Cronograma!J$2:J$30=$A26)*1)=0)*NOT(SUMPRODUCT((Cronograma!K$2:K$30=$A26)*(Cronograma!$B$2:$B$30=FALSE))&gt;0))&gt;0),(((SUMPRODUCT((Cronograma!K$2:K$30=$A26)*1)=0)*NOT(SUMPRODUCT((Cronograma!J$2:J$30=$A26)*(Cronograma!$B$2:$B$30=TRUE))&gt;0))+((SUMPRODUCT((Cronograma!K$2:K$30=$A26)*1)=0)*NOT(SUMPRODUCT((Cronograma!L$2:L$30=$A26)*(Cronograma!$B$2:$B$30=FALSE))&gt;0))&gt;0),(((SUMPRODUCT((Cronograma!L$2:L$30=$A26)*1)=0)*NOT(SUMPRODUCT((Cronograma!K$2:K$30=$A26)*(Cronograma!$B$2:$B$30=TRUE))&gt;0))+((SUMPRODUCT((Cronograma!L$2:L$30=$A26)*1)=0)*NOT(SUMPRODUCT((Cronograma!M$2:M$30=$A26)*(Cronograma!$B$2:$B$30=FALSE))&gt;0))&gt;0),(((SUMPRODUCT((Cronograma!M$2:M$30=$A26)*1)=0)*NOT(SUMPRODUCT((Cronograma!L$2:L$30=$A26)*(Cronograma!$B$2:$B$30=TRUE))&gt;0))+((SUMPRODUCT((Cronograma!M$2:M$30=$A26)*1)=0)*NOT(SUMPRODUCT((Cronograma!N$2:N$30=$A26)*(Cronograma!$B$2:$B$30=FALSE))&gt;0))&gt;0),(((SUMPRODUCT((Cronograma!N$2:N$30=$A26)*1)=0)*NOT(SUMPRODUCT((Cronograma!M$2:M$30=$A26)*(Cronograma!$B$2:$B$30=TRUE))&gt;0))+((SUMPRODUCT((Cronograma!N$2:N$30=$A26)*1)=0)*NOT(SUMPRODUCT((Cronograma!O$2:O$30=$A26)*(Cronograma!$B$2:$B$30=FALSE))&gt;0))&gt;0),(((SUMPRODUCT((Cronograma!O$2:O$30=$A26)*1)=0)*NOT(SUMPRODUCT((Cronograma!N$2:N$30=$A26)*(Cronograma!$B$2:$B$30=TRUE))&gt;0))+((SUMPRODUCT((Cronograma!O$2:O$30=$A26)*1)=0)*NOT(SUMPRODUCT((Cronograma!P$2:P$30=$A26)*(Cronograma!$B$2:$B$30=FALSE))&gt;0))&gt;0),(((SUMPRODUCT((Cronograma!P$2:P$30=$A26)*1)=0)*NOT(SUMPRODUCT((Cronograma!O$2:O$30=$A26)*(Cronograma!$B$2:$B$30=TRUE))&gt;0))+((SUMPRODUCT((Cronograma!P$2:P$30=$A26)*1)=0)*NOT(SUMPRODUCT((Cronograma!Q$2:Q$30=$A26)*(Cronograma!$B$2:$B$30=FALSE))&gt;0))&gt;0),((SUMPRODUCT((Cronograma!Q$2:Q$30=$A26)*1)=0)*NOT(SUMPRODUCT((Cronograma!P$2:P$30=$A26)*(Cronograma!$B$2:$B$30=TRUE))&gt;0)))</f>
        <v>0</v>
      </c>
      <c r="E26" cm="1">
        <f t="array" ref="E26">_xlfn.XLOOKUP("Rosalba",Cronograma!C2:C30,Cronograma!A2:A30,"")</f>
        <v>0</v>
      </c>
      <c r="F26" cm="1">
        <f t="array" ref="F26">_xlfn.XLOOKUP("Rosalba",Cronograma!D2:D30,Cronograma!A2:A30,"")</f>
        <v>0</v>
      </c>
      <c r="G26" cm="1">
        <f t="array" ref="G26">_xlfn.XLOOKUP("Rosalba",Cronograma!E2:E30,Cronograma!A2:A30,"")</f>
        <v>0</v>
      </c>
      <c r="H26" cm="1">
        <f t="array" ref="H26">_xlfn.XLOOKUP("Rosalba",Cronograma!F2:F30,Cronograma!A2:A30,"")</f>
        <v>0</v>
      </c>
      <c r="I26" cm="1">
        <f t="array" ref="I26">_xlfn.XLOOKUP("Rosalba",Cronograma!G2:G30,Cronograma!A2:A30,"")</f>
        <v>0</v>
      </c>
      <c r="J26" cm="1">
        <f t="array" ref="J26">_xlfn.XLOOKUP("Rosalba",Cronograma!H2:H30,Cronograma!A2:A30,"")</f>
        <v>0</v>
      </c>
      <c r="K26" cm="1">
        <f t="array" ref="K26">_xlfn.XLOOKUP("Rosalba",Cronograma!I2:I30,Cronograma!A2:A30,"")</f>
        <v>0</v>
      </c>
      <c r="L26" cm="1">
        <f t="array" ref="L26">_xlfn.XLOOKUP("Rosalba",Cronograma!J2:J30,Cronograma!A2:A30,"")</f>
        <v>0</v>
      </c>
      <c r="M26" cm="1">
        <f t="array" ref="M26">_xlfn.XLOOKUP("Rosalba",Cronograma!K2:K30,Cronograma!A2:A30,"")</f>
        <v>0</v>
      </c>
      <c r="N26" cm="1">
        <f t="array" ref="N26">_xlfn.XLOOKUP("Rosalba",Cronograma!L2:L30,Cronograma!A2:A30,"")</f>
        <v>0</v>
      </c>
      <c r="O26" cm="1">
        <f t="array" ref="O26">_xlfn.XLOOKUP("Rosalba",Cronograma!M2:M30,Cronograma!A2:A30,"")</f>
        <v>0</v>
      </c>
      <c r="P26" cm="1">
        <f t="array" ref="P26">_xlfn.XLOOKUP("Rosalba",Cronograma!N2:N30,Cronograma!A2:A30,"")</f>
        <v>0</v>
      </c>
      <c r="Q26" cm="1">
        <f t="array" ref="Q26">_xlfn.XLOOKUP("Rosalba",Cronograma!O2:O30,Cronograma!A2:A30,"")</f>
        <v>0</v>
      </c>
      <c r="R26" cm="1">
        <f t="array" ref="R26">_xlfn.XLOOKUP("Rosalba",Cronograma!P2:P30,Cronograma!A2:A30,"")</f>
        <v>0</v>
      </c>
      <c r="S26" cm="1">
        <f t="array" ref="S26">_xlfn.XLOOKUP("Rosalba",Cronograma!Q2:Q30,Cronograma!A2:A30,"")</f>
        <v>0</v>
      </c>
    </row>
    <row r="27" spans="1:19">
      <c r="A27" t="s">
        <v>39</v>
      </c>
      <c r="B27">
        <f>SUMPRODUCT((Cronograma!B2:B30=FALSE) * (COUNTIF(E27:S27, Cronograma!A2:A30)))</f>
        <v>0</v>
      </c>
      <c r="C27">
        <f>SUMPRODUCT((Cronograma!B2:B30=TRUE) * (COUNTIF(E27:S27, Cronograma!A2:A30)))</f>
        <v>0</v>
      </c>
      <c r="D27">
        <f>SUM(((SUMPRODUCT((Cronograma!C$2:C$30=$A27)*1)=0)*NOT(SUMPRODUCT((Cronograma!D$2:D$30=$A27)*(Cronograma!$B$2:$B$30=FALSE))&gt;0)),(((SUMPRODUCT((Cronograma!D$2:D$30=$A27)*1)=0)*NOT(SUMPRODUCT((Cronograma!C$2:C$30=$A27)*(Cronograma!$B$2:$B$30=TRUE))&gt;0))+((SUMPRODUCT((Cronograma!D$2:D$30=$A27)*1)=0)*NOT(SUMPRODUCT((Cronograma!E$2:E$30=$A27)*(Cronograma!$B$2:$B$30=FALSE))&gt;0))&gt;0),(((SUMPRODUCT((Cronograma!E$2:E$30=$A27)*1)=0)*NOT(SUMPRODUCT((Cronograma!D$2:D$30=$A27)*(Cronograma!$B$2:$B$30=TRUE))&gt;0))+((SUMPRODUCT((Cronograma!E$2:E$30=$A27)*1)=0)*NOT(SUMPRODUCT((Cronograma!F$2:F$30=$A27)*(Cronograma!$B$2:$B$30=FALSE))&gt;0))&gt;0),(((SUMPRODUCT((Cronograma!F$2:F$30=$A27)*1)=0)*NOT(SUMPRODUCT((Cronograma!E$2:E$30=$A27)*(Cronograma!$B$2:$B$30=TRUE))&gt;0))+((SUMPRODUCT((Cronograma!F$2:F$30=$A27)*1)=0)*NOT(SUMPRODUCT((Cronograma!G$2:G$30=$A27)*(Cronograma!$B$2:$B$30=FALSE))&gt;0))&gt;0),(((SUMPRODUCT((Cronograma!G$2:G$30=$A27)*1)=0)*NOT(SUMPRODUCT((Cronograma!F$2:F$30=$A27)*(Cronograma!$B$2:$B$30=TRUE))&gt;0))+((SUMPRODUCT((Cronograma!G$2:G$30=$A27)*1)=0)*NOT(SUMPRODUCT((Cronograma!H$2:H$30=$A27)*(Cronograma!$B$2:$B$30=FALSE))&gt;0))&gt;0),(((SUMPRODUCT((Cronograma!H$2:H$30=$A27)*1)=0)*NOT(SUMPRODUCT((Cronograma!G$2:G$30=$A27)*(Cronograma!$B$2:$B$30=TRUE))&gt;0))+((SUMPRODUCT((Cronograma!H$2:H$30=$A27)*1)=0)*NOT(SUMPRODUCT((Cronograma!I$2:I$30=$A27)*(Cronograma!$B$2:$B$30=FALSE))&gt;0))&gt;0),(((SUMPRODUCT((Cronograma!I$2:I$30=$A27)*1)=0)*NOT(SUMPRODUCT((Cronograma!H$2:H$30=$A27)*(Cronograma!$B$2:$B$30=TRUE))&gt;0))+((SUMPRODUCT((Cronograma!I$2:I$30=$A27)*1)=0)*NOT(SUMPRODUCT((Cronograma!J$2:J$30=$A27)*(Cronograma!$B$2:$B$30=FALSE))&gt;0))&gt;0),(((SUMPRODUCT((Cronograma!J$2:J$30=$A27)*1)=0)*NOT(SUMPRODUCT((Cronograma!I$2:I$30=$A27)*(Cronograma!$B$2:$B$30=TRUE))&gt;0))+((SUMPRODUCT((Cronograma!J$2:J$30=$A27)*1)=0)*NOT(SUMPRODUCT((Cronograma!K$2:K$30=$A27)*(Cronograma!$B$2:$B$30=FALSE))&gt;0))&gt;0),(((SUMPRODUCT((Cronograma!K$2:K$30=$A27)*1)=0)*NOT(SUMPRODUCT((Cronograma!J$2:J$30=$A27)*(Cronograma!$B$2:$B$30=TRUE))&gt;0))+((SUMPRODUCT((Cronograma!K$2:K$30=$A27)*1)=0)*NOT(SUMPRODUCT((Cronograma!L$2:L$30=$A27)*(Cronograma!$B$2:$B$30=FALSE))&gt;0))&gt;0),(((SUMPRODUCT((Cronograma!L$2:L$30=$A27)*1)=0)*NOT(SUMPRODUCT((Cronograma!K$2:K$30=$A27)*(Cronograma!$B$2:$B$30=TRUE))&gt;0))+((SUMPRODUCT((Cronograma!L$2:L$30=$A27)*1)=0)*NOT(SUMPRODUCT((Cronograma!M$2:M$30=$A27)*(Cronograma!$B$2:$B$30=FALSE))&gt;0))&gt;0),(((SUMPRODUCT((Cronograma!M$2:M$30=$A27)*1)=0)*NOT(SUMPRODUCT((Cronograma!L$2:L$30=$A27)*(Cronograma!$B$2:$B$30=TRUE))&gt;0))+((SUMPRODUCT((Cronograma!M$2:M$30=$A27)*1)=0)*NOT(SUMPRODUCT((Cronograma!N$2:N$30=$A27)*(Cronograma!$B$2:$B$30=FALSE))&gt;0))&gt;0),(((SUMPRODUCT((Cronograma!N$2:N$30=$A27)*1)=0)*NOT(SUMPRODUCT((Cronograma!M$2:M$30=$A27)*(Cronograma!$B$2:$B$30=TRUE))&gt;0))+((SUMPRODUCT((Cronograma!N$2:N$30=$A27)*1)=0)*NOT(SUMPRODUCT((Cronograma!O$2:O$30=$A27)*(Cronograma!$B$2:$B$30=FALSE))&gt;0))&gt;0),(((SUMPRODUCT((Cronograma!O$2:O$30=$A27)*1)=0)*NOT(SUMPRODUCT((Cronograma!N$2:N$30=$A27)*(Cronograma!$B$2:$B$30=TRUE))&gt;0))+((SUMPRODUCT((Cronograma!O$2:O$30=$A27)*1)=0)*NOT(SUMPRODUCT((Cronograma!P$2:P$30=$A27)*(Cronograma!$B$2:$B$30=FALSE))&gt;0))&gt;0),(((SUMPRODUCT((Cronograma!P$2:P$30=$A27)*1)=0)*NOT(SUMPRODUCT((Cronograma!O$2:O$30=$A27)*(Cronograma!$B$2:$B$30=TRUE))&gt;0))+((SUMPRODUCT((Cronograma!P$2:P$30=$A27)*1)=0)*NOT(SUMPRODUCT((Cronograma!Q$2:Q$30=$A27)*(Cronograma!$B$2:$B$30=FALSE))&gt;0))&gt;0),((SUMPRODUCT((Cronograma!Q$2:Q$30=$A27)*1)=0)*NOT(SUMPRODUCT((Cronograma!P$2:P$30=$A27)*(Cronograma!$B$2:$B$30=TRUE))&gt;0)))</f>
        <v>0</v>
      </c>
      <c r="E27" cm="1">
        <f t="array" ref="E27">_xlfn.XLOOKUP("Adriana",Cronograma!C2:C30,Cronograma!A2:A30,"")</f>
        <v>0</v>
      </c>
      <c r="F27" cm="1">
        <f t="array" ref="F27">_xlfn.XLOOKUP("Adriana",Cronograma!D2:D30,Cronograma!A2:A30,"")</f>
        <v>0</v>
      </c>
      <c r="G27" cm="1">
        <f t="array" ref="G27">_xlfn.XLOOKUP("Adriana",Cronograma!E2:E30,Cronograma!A2:A30,"")</f>
        <v>0</v>
      </c>
      <c r="H27" cm="1">
        <f t="array" ref="H27">_xlfn.XLOOKUP("Adriana",Cronograma!F2:F30,Cronograma!A2:A30,"")</f>
        <v>0</v>
      </c>
      <c r="I27" cm="1">
        <f t="array" ref="I27">_xlfn.XLOOKUP("Adriana",Cronograma!G2:G30,Cronograma!A2:A30,"")</f>
        <v>0</v>
      </c>
      <c r="J27" cm="1">
        <f t="array" ref="J27">_xlfn.XLOOKUP("Adriana",Cronograma!H2:H30,Cronograma!A2:A30,"")</f>
        <v>0</v>
      </c>
      <c r="K27" cm="1">
        <f t="array" ref="K27">_xlfn.XLOOKUP("Adriana",Cronograma!I2:I30,Cronograma!A2:A30,"")</f>
        <v>0</v>
      </c>
      <c r="L27" cm="1">
        <f t="array" ref="L27">_xlfn.XLOOKUP("Adriana",Cronograma!J2:J30,Cronograma!A2:A30,"")</f>
        <v>0</v>
      </c>
      <c r="M27" cm="1">
        <f t="array" ref="M27">_xlfn.XLOOKUP("Adriana",Cronograma!K2:K30,Cronograma!A2:A30,"")</f>
        <v>0</v>
      </c>
      <c r="N27" cm="1">
        <f t="array" ref="N27">_xlfn.XLOOKUP("Adriana",Cronograma!L2:L30,Cronograma!A2:A30,"")</f>
        <v>0</v>
      </c>
      <c r="O27" cm="1">
        <f t="array" ref="O27">_xlfn.XLOOKUP("Adriana",Cronograma!M2:M30,Cronograma!A2:A30,"")</f>
        <v>0</v>
      </c>
      <c r="P27" cm="1">
        <f t="array" ref="P27">_xlfn.XLOOKUP("Adriana",Cronograma!N2:N30,Cronograma!A2:A30,"")</f>
        <v>0</v>
      </c>
      <c r="Q27" cm="1">
        <f t="array" ref="Q27">_xlfn.XLOOKUP("Adriana",Cronograma!O2:O30,Cronograma!A2:A30,"")</f>
        <v>0</v>
      </c>
      <c r="R27" cm="1">
        <f t="array" ref="R27">_xlfn.XLOOKUP("Adriana",Cronograma!P2:P30,Cronograma!A2:A30,"")</f>
        <v>0</v>
      </c>
      <c r="S27" cm="1">
        <f t="array" ref="S27">_xlfn.XLOOKUP("Adriana",Cronograma!Q2:Q30,Cronograma!A2:A30,"")</f>
        <v>0</v>
      </c>
    </row>
    <row r="28" spans="1:19">
      <c r="A28" t="s">
        <v>40</v>
      </c>
      <c r="B28">
        <f>SUMPRODUCT((Cronograma!B2:B30=FALSE) * (COUNTIF(E28:S28, Cronograma!A2:A30)))</f>
        <v>0</v>
      </c>
      <c r="C28">
        <f>SUMPRODUCT((Cronograma!B2:B30=TRUE) * (COUNTIF(E28:S28, Cronograma!A2:A30)))</f>
        <v>0</v>
      </c>
      <c r="D28">
        <f>SUM(((SUMPRODUCT((Cronograma!C$2:C$30=$A28)*1)=0)*NOT(SUMPRODUCT((Cronograma!D$2:D$30=$A28)*(Cronograma!$B$2:$B$30=FALSE))&gt;0)),(((SUMPRODUCT((Cronograma!D$2:D$30=$A28)*1)=0)*NOT(SUMPRODUCT((Cronograma!C$2:C$30=$A28)*(Cronograma!$B$2:$B$30=TRUE))&gt;0))+((SUMPRODUCT((Cronograma!D$2:D$30=$A28)*1)=0)*NOT(SUMPRODUCT((Cronograma!E$2:E$30=$A28)*(Cronograma!$B$2:$B$30=FALSE))&gt;0))&gt;0),(((SUMPRODUCT((Cronograma!E$2:E$30=$A28)*1)=0)*NOT(SUMPRODUCT((Cronograma!D$2:D$30=$A28)*(Cronograma!$B$2:$B$30=TRUE))&gt;0))+((SUMPRODUCT((Cronograma!E$2:E$30=$A28)*1)=0)*NOT(SUMPRODUCT((Cronograma!F$2:F$30=$A28)*(Cronograma!$B$2:$B$30=FALSE))&gt;0))&gt;0),(((SUMPRODUCT((Cronograma!F$2:F$30=$A28)*1)=0)*NOT(SUMPRODUCT((Cronograma!E$2:E$30=$A28)*(Cronograma!$B$2:$B$30=TRUE))&gt;0))+((SUMPRODUCT((Cronograma!F$2:F$30=$A28)*1)=0)*NOT(SUMPRODUCT((Cronograma!G$2:G$30=$A28)*(Cronograma!$B$2:$B$30=FALSE))&gt;0))&gt;0),(((SUMPRODUCT((Cronograma!G$2:G$30=$A28)*1)=0)*NOT(SUMPRODUCT((Cronograma!F$2:F$30=$A28)*(Cronograma!$B$2:$B$30=TRUE))&gt;0))+((SUMPRODUCT((Cronograma!G$2:G$30=$A28)*1)=0)*NOT(SUMPRODUCT((Cronograma!H$2:H$30=$A28)*(Cronograma!$B$2:$B$30=FALSE))&gt;0))&gt;0),(((SUMPRODUCT((Cronograma!H$2:H$30=$A28)*1)=0)*NOT(SUMPRODUCT((Cronograma!G$2:G$30=$A28)*(Cronograma!$B$2:$B$30=TRUE))&gt;0))+((SUMPRODUCT((Cronograma!H$2:H$30=$A28)*1)=0)*NOT(SUMPRODUCT((Cronograma!I$2:I$30=$A28)*(Cronograma!$B$2:$B$30=FALSE))&gt;0))&gt;0),(((SUMPRODUCT((Cronograma!I$2:I$30=$A28)*1)=0)*NOT(SUMPRODUCT((Cronograma!H$2:H$30=$A28)*(Cronograma!$B$2:$B$30=TRUE))&gt;0))+((SUMPRODUCT((Cronograma!I$2:I$30=$A28)*1)=0)*NOT(SUMPRODUCT((Cronograma!J$2:J$30=$A28)*(Cronograma!$B$2:$B$30=FALSE))&gt;0))&gt;0),(((SUMPRODUCT((Cronograma!J$2:J$30=$A28)*1)=0)*NOT(SUMPRODUCT((Cronograma!I$2:I$30=$A28)*(Cronograma!$B$2:$B$30=TRUE))&gt;0))+((SUMPRODUCT((Cronograma!J$2:J$30=$A28)*1)=0)*NOT(SUMPRODUCT((Cronograma!K$2:K$30=$A28)*(Cronograma!$B$2:$B$30=FALSE))&gt;0))&gt;0),(((SUMPRODUCT((Cronograma!K$2:K$30=$A28)*1)=0)*NOT(SUMPRODUCT((Cronograma!J$2:J$30=$A28)*(Cronograma!$B$2:$B$30=TRUE))&gt;0))+((SUMPRODUCT((Cronograma!K$2:K$30=$A28)*1)=0)*NOT(SUMPRODUCT((Cronograma!L$2:L$30=$A28)*(Cronograma!$B$2:$B$30=FALSE))&gt;0))&gt;0),(((SUMPRODUCT((Cronograma!L$2:L$30=$A28)*1)=0)*NOT(SUMPRODUCT((Cronograma!K$2:K$30=$A28)*(Cronograma!$B$2:$B$30=TRUE))&gt;0))+((SUMPRODUCT((Cronograma!L$2:L$30=$A28)*1)=0)*NOT(SUMPRODUCT((Cronograma!M$2:M$30=$A28)*(Cronograma!$B$2:$B$30=FALSE))&gt;0))&gt;0),(((SUMPRODUCT((Cronograma!M$2:M$30=$A28)*1)=0)*NOT(SUMPRODUCT((Cronograma!L$2:L$30=$A28)*(Cronograma!$B$2:$B$30=TRUE))&gt;0))+((SUMPRODUCT((Cronograma!M$2:M$30=$A28)*1)=0)*NOT(SUMPRODUCT((Cronograma!N$2:N$30=$A28)*(Cronograma!$B$2:$B$30=FALSE))&gt;0))&gt;0),(((SUMPRODUCT((Cronograma!N$2:N$30=$A28)*1)=0)*NOT(SUMPRODUCT((Cronograma!M$2:M$30=$A28)*(Cronograma!$B$2:$B$30=TRUE))&gt;0))+((SUMPRODUCT((Cronograma!N$2:N$30=$A28)*1)=0)*NOT(SUMPRODUCT((Cronograma!O$2:O$30=$A28)*(Cronograma!$B$2:$B$30=FALSE))&gt;0))&gt;0),(((SUMPRODUCT((Cronograma!O$2:O$30=$A28)*1)=0)*NOT(SUMPRODUCT((Cronograma!N$2:N$30=$A28)*(Cronograma!$B$2:$B$30=TRUE))&gt;0))+((SUMPRODUCT((Cronograma!O$2:O$30=$A28)*1)=0)*NOT(SUMPRODUCT((Cronograma!P$2:P$30=$A28)*(Cronograma!$B$2:$B$30=FALSE))&gt;0))&gt;0),(((SUMPRODUCT((Cronograma!P$2:P$30=$A28)*1)=0)*NOT(SUMPRODUCT((Cronograma!O$2:O$30=$A28)*(Cronograma!$B$2:$B$30=TRUE))&gt;0))+((SUMPRODUCT((Cronograma!P$2:P$30=$A28)*1)=0)*NOT(SUMPRODUCT((Cronograma!Q$2:Q$30=$A28)*(Cronograma!$B$2:$B$30=FALSE))&gt;0))&gt;0),((SUMPRODUCT((Cronograma!Q$2:Q$30=$A28)*1)=0)*NOT(SUMPRODUCT((Cronograma!P$2:P$30=$A28)*(Cronograma!$B$2:$B$30=TRUE))&gt;0)))</f>
        <v>0</v>
      </c>
      <c r="E28" cm="1">
        <f t="array" ref="E28">_xlfn.XLOOKUP("Claudia Patricia",Cronograma!C2:C30,Cronograma!A2:A30,"")</f>
        <v>0</v>
      </c>
      <c r="F28" cm="1">
        <f t="array" ref="F28">_xlfn.XLOOKUP("Claudia Patricia",Cronograma!D2:D30,Cronograma!A2:A30,"")</f>
        <v>0</v>
      </c>
      <c r="G28" cm="1">
        <f t="array" ref="G28">_xlfn.XLOOKUP("Claudia Patricia",Cronograma!E2:E30,Cronograma!A2:A30,"")</f>
        <v>0</v>
      </c>
      <c r="H28" cm="1">
        <f t="array" ref="H28">_xlfn.XLOOKUP("Claudia Patricia",Cronograma!F2:F30,Cronograma!A2:A30,"")</f>
        <v>0</v>
      </c>
      <c r="I28" cm="1">
        <f t="array" ref="I28">_xlfn.XLOOKUP("Claudia Patricia",Cronograma!G2:G30,Cronograma!A2:A30,"")</f>
        <v>0</v>
      </c>
      <c r="J28" cm="1">
        <f t="array" ref="J28">_xlfn.XLOOKUP("Claudia Patricia",Cronograma!H2:H30,Cronograma!A2:A30,"")</f>
        <v>0</v>
      </c>
      <c r="K28" cm="1">
        <f t="array" ref="K28">_xlfn.XLOOKUP("Claudia Patricia",Cronograma!I2:I30,Cronograma!A2:A30,"")</f>
        <v>0</v>
      </c>
      <c r="L28" cm="1">
        <f t="array" ref="L28">_xlfn.XLOOKUP("Claudia Patricia",Cronograma!J2:J30,Cronograma!A2:A30,"")</f>
        <v>0</v>
      </c>
      <c r="M28" cm="1">
        <f t="array" ref="M28">_xlfn.XLOOKUP("Claudia Patricia",Cronograma!K2:K30,Cronograma!A2:A30,"")</f>
        <v>0</v>
      </c>
      <c r="N28" cm="1">
        <f t="array" ref="N28">_xlfn.XLOOKUP("Claudia Patricia",Cronograma!L2:L30,Cronograma!A2:A30,"")</f>
        <v>0</v>
      </c>
      <c r="O28" cm="1">
        <f t="array" ref="O28">_xlfn.XLOOKUP("Claudia Patricia",Cronograma!M2:M30,Cronograma!A2:A30,"")</f>
        <v>0</v>
      </c>
      <c r="P28" cm="1">
        <f t="array" ref="P28">_xlfn.XLOOKUP("Claudia Patricia",Cronograma!N2:N30,Cronograma!A2:A30,"")</f>
        <v>0</v>
      </c>
      <c r="Q28" cm="1">
        <f t="array" ref="Q28">_xlfn.XLOOKUP("Claudia Patricia",Cronograma!O2:O30,Cronograma!A2:A30,"")</f>
        <v>0</v>
      </c>
      <c r="R28" cm="1">
        <f t="array" ref="R28">_xlfn.XLOOKUP("Claudia Patricia",Cronograma!P2:P30,Cronograma!A2:A30,"")</f>
        <v>0</v>
      </c>
      <c r="S28" cm="1">
        <f t="array" ref="S28">_xlfn.XLOOKUP("Claudia Patricia",Cronograma!Q2:Q30,Cronograma!A2:A30,"")</f>
        <v>0</v>
      </c>
    </row>
    <row r="29" spans="1:19">
      <c r="A29" t="s">
        <v>41</v>
      </c>
      <c r="B29">
        <f>SUMPRODUCT((Cronograma!B2:B30=FALSE) * (COUNTIF(E29:S29, Cronograma!A2:A30)))</f>
        <v>0</v>
      </c>
      <c r="C29">
        <f>SUMPRODUCT((Cronograma!B2:B30=TRUE) * (COUNTIF(E29:S29, Cronograma!A2:A30)))</f>
        <v>0</v>
      </c>
      <c r="D29">
        <f>SUM(((SUMPRODUCT((Cronograma!C$2:C$30=$A29)*1)=0)*NOT(SUMPRODUCT((Cronograma!D$2:D$30=$A29)*(Cronograma!$B$2:$B$30=FALSE))&gt;0)),(((SUMPRODUCT((Cronograma!D$2:D$30=$A29)*1)=0)*NOT(SUMPRODUCT((Cronograma!C$2:C$30=$A29)*(Cronograma!$B$2:$B$30=TRUE))&gt;0))+((SUMPRODUCT((Cronograma!D$2:D$30=$A29)*1)=0)*NOT(SUMPRODUCT((Cronograma!E$2:E$30=$A29)*(Cronograma!$B$2:$B$30=FALSE))&gt;0))&gt;0),(((SUMPRODUCT((Cronograma!E$2:E$30=$A29)*1)=0)*NOT(SUMPRODUCT((Cronograma!D$2:D$30=$A29)*(Cronograma!$B$2:$B$30=TRUE))&gt;0))+((SUMPRODUCT((Cronograma!E$2:E$30=$A29)*1)=0)*NOT(SUMPRODUCT((Cronograma!F$2:F$30=$A29)*(Cronograma!$B$2:$B$30=FALSE))&gt;0))&gt;0),(((SUMPRODUCT((Cronograma!F$2:F$30=$A29)*1)=0)*NOT(SUMPRODUCT((Cronograma!E$2:E$30=$A29)*(Cronograma!$B$2:$B$30=TRUE))&gt;0))+((SUMPRODUCT((Cronograma!F$2:F$30=$A29)*1)=0)*NOT(SUMPRODUCT((Cronograma!G$2:G$30=$A29)*(Cronograma!$B$2:$B$30=FALSE))&gt;0))&gt;0),(((SUMPRODUCT((Cronograma!G$2:G$30=$A29)*1)=0)*NOT(SUMPRODUCT((Cronograma!F$2:F$30=$A29)*(Cronograma!$B$2:$B$30=TRUE))&gt;0))+((SUMPRODUCT((Cronograma!G$2:G$30=$A29)*1)=0)*NOT(SUMPRODUCT((Cronograma!H$2:H$30=$A29)*(Cronograma!$B$2:$B$30=FALSE))&gt;0))&gt;0),(((SUMPRODUCT((Cronograma!H$2:H$30=$A29)*1)=0)*NOT(SUMPRODUCT((Cronograma!G$2:G$30=$A29)*(Cronograma!$B$2:$B$30=TRUE))&gt;0))+((SUMPRODUCT((Cronograma!H$2:H$30=$A29)*1)=0)*NOT(SUMPRODUCT((Cronograma!I$2:I$30=$A29)*(Cronograma!$B$2:$B$30=FALSE))&gt;0))&gt;0),(((SUMPRODUCT((Cronograma!I$2:I$30=$A29)*1)=0)*NOT(SUMPRODUCT((Cronograma!H$2:H$30=$A29)*(Cronograma!$B$2:$B$30=TRUE))&gt;0))+((SUMPRODUCT((Cronograma!I$2:I$30=$A29)*1)=0)*NOT(SUMPRODUCT((Cronograma!J$2:J$30=$A29)*(Cronograma!$B$2:$B$30=FALSE))&gt;0))&gt;0),(((SUMPRODUCT((Cronograma!J$2:J$30=$A29)*1)=0)*NOT(SUMPRODUCT((Cronograma!I$2:I$30=$A29)*(Cronograma!$B$2:$B$30=TRUE))&gt;0))+((SUMPRODUCT((Cronograma!J$2:J$30=$A29)*1)=0)*NOT(SUMPRODUCT((Cronograma!K$2:K$30=$A29)*(Cronograma!$B$2:$B$30=FALSE))&gt;0))&gt;0),(((SUMPRODUCT((Cronograma!K$2:K$30=$A29)*1)=0)*NOT(SUMPRODUCT((Cronograma!J$2:J$30=$A29)*(Cronograma!$B$2:$B$30=TRUE))&gt;0))+((SUMPRODUCT((Cronograma!K$2:K$30=$A29)*1)=0)*NOT(SUMPRODUCT((Cronograma!L$2:L$30=$A29)*(Cronograma!$B$2:$B$30=FALSE))&gt;0))&gt;0),(((SUMPRODUCT((Cronograma!L$2:L$30=$A29)*1)=0)*NOT(SUMPRODUCT((Cronograma!K$2:K$30=$A29)*(Cronograma!$B$2:$B$30=TRUE))&gt;0))+((SUMPRODUCT((Cronograma!L$2:L$30=$A29)*1)=0)*NOT(SUMPRODUCT((Cronograma!M$2:M$30=$A29)*(Cronograma!$B$2:$B$30=FALSE))&gt;0))&gt;0),(((SUMPRODUCT((Cronograma!M$2:M$30=$A29)*1)=0)*NOT(SUMPRODUCT((Cronograma!L$2:L$30=$A29)*(Cronograma!$B$2:$B$30=TRUE))&gt;0))+((SUMPRODUCT((Cronograma!M$2:M$30=$A29)*1)=0)*NOT(SUMPRODUCT((Cronograma!N$2:N$30=$A29)*(Cronograma!$B$2:$B$30=FALSE))&gt;0))&gt;0),(((SUMPRODUCT((Cronograma!N$2:N$30=$A29)*1)=0)*NOT(SUMPRODUCT((Cronograma!M$2:M$30=$A29)*(Cronograma!$B$2:$B$30=TRUE))&gt;0))+((SUMPRODUCT((Cronograma!N$2:N$30=$A29)*1)=0)*NOT(SUMPRODUCT((Cronograma!O$2:O$30=$A29)*(Cronograma!$B$2:$B$30=FALSE))&gt;0))&gt;0),(((SUMPRODUCT((Cronograma!O$2:O$30=$A29)*1)=0)*NOT(SUMPRODUCT((Cronograma!N$2:N$30=$A29)*(Cronograma!$B$2:$B$30=TRUE))&gt;0))+((SUMPRODUCT((Cronograma!O$2:O$30=$A29)*1)=0)*NOT(SUMPRODUCT((Cronograma!P$2:P$30=$A29)*(Cronograma!$B$2:$B$30=FALSE))&gt;0))&gt;0),(((SUMPRODUCT((Cronograma!P$2:P$30=$A29)*1)=0)*NOT(SUMPRODUCT((Cronograma!O$2:O$30=$A29)*(Cronograma!$B$2:$B$30=TRUE))&gt;0))+((SUMPRODUCT((Cronograma!P$2:P$30=$A29)*1)=0)*NOT(SUMPRODUCT((Cronograma!Q$2:Q$30=$A29)*(Cronograma!$B$2:$B$30=FALSE))&gt;0))&gt;0),((SUMPRODUCT((Cronograma!Q$2:Q$30=$A29)*1)=0)*NOT(SUMPRODUCT((Cronograma!P$2:P$30=$A29)*(Cronograma!$B$2:$B$30=TRUE))&gt;0)))</f>
        <v>0</v>
      </c>
      <c r="E29" cm="1">
        <f t="array" ref="E29">_xlfn.XLOOKUP("Luz Estela",Cronograma!C2:C30,Cronograma!A2:A30,"")</f>
        <v>0</v>
      </c>
      <c r="F29" cm="1">
        <f t="array" ref="F29">_xlfn.XLOOKUP("Luz Estela",Cronograma!D2:D30,Cronograma!A2:A30,"")</f>
        <v>0</v>
      </c>
      <c r="G29" cm="1">
        <f t="array" ref="G29">_xlfn.XLOOKUP("Luz Estela",Cronograma!E2:E30,Cronograma!A2:A30,"")</f>
        <v>0</v>
      </c>
      <c r="H29" cm="1">
        <f t="array" ref="H29">_xlfn.XLOOKUP("Luz Estela",Cronograma!F2:F30,Cronograma!A2:A30,"")</f>
        <v>0</v>
      </c>
      <c r="I29" cm="1">
        <f t="array" ref="I29">_xlfn.XLOOKUP("Luz Estela",Cronograma!G2:G30,Cronograma!A2:A30,"")</f>
        <v>0</v>
      </c>
      <c r="J29" cm="1">
        <f t="array" ref="J29">_xlfn.XLOOKUP("Luz Estela",Cronograma!H2:H30,Cronograma!A2:A30,"")</f>
        <v>0</v>
      </c>
      <c r="K29" cm="1">
        <f t="array" ref="K29">_xlfn.XLOOKUP("Luz Estela",Cronograma!I2:I30,Cronograma!A2:A30,"")</f>
        <v>0</v>
      </c>
      <c r="L29" cm="1">
        <f t="array" ref="L29">_xlfn.XLOOKUP("Luz Estela",Cronograma!J2:J30,Cronograma!A2:A30,"")</f>
        <v>0</v>
      </c>
      <c r="M29" cm="1">
        <f t="array" ref="M29">_xlfn.XLOOKUP("Luz Estela",Cronograma!K2:K30,Cronograma!A2:A30,"")</f>
        <v>0</v>
      </c>
      <c r="N29" cm="1">
        <f t="array" ref="N29">_xlfn.XLOOKUP("Luz Estela",Cronograma!L2:L30,Cronograma!A2:A30,"")</f>
        <v>0</v>
      </c>
      <c r="O29" cm="1">
        <f t="array" ref="O29">_xlfn.XLOOKUP("Luz Estela",Cronograma!M2:M30,Cronograma!A2:A30,"")</f>
        <v>0</v>
      </c>
      <c r="P29" cm="1">
        <f t="array" ref="P29">_xlfn.XLOOKUP("Luz Estela",Cronograma!N2:N30,Cronograma!A2:A30,"")</f>
        <v>0</v>
      </c>
      <c r="Q29" cm="1">
        <f t="array" ref="Q29">_xlfn.XLOOKUP("Luz Estela",Cronograma!O2:O30,Cronograma!A2:A30,"")</f>
        <v>0</v>
      </c>
      <c r="R29" cm="1">
        <f t="array" ref="R29">_xlfn.XLOOKUP("Luz Estela",Cronograma!P2:P30,Cronograma!A2:A30,"")</f>
        <v>0</v>
      </c>
      <c r="S29" cm="1">
        <f t="array" ref="S29">_xlfn.XLOOKUP("Luz Estela",Cronograma!Q2:Q30,Cronograma!A2:A30,"")</f>
        <v>0</v>
      </c>
    </row>
    <row r="30" spans="1:19">
      <c r="A30" t="s">
        <v>57</v>
      </c>
      <c r="B30">
        <f>SUMPRODUCT((Cronograma!B2:B30=FALSE) * (COUNTIF(E30:S30, Cronograma!A2:A30)))</f>
        <v>0</v>
      </c>
      <c r="C30">
        <f>SUMPRODUCT((Cronograma!B2:B30=TRUE) * (COUNTIF(E30:S30, Cronograma!A2:A30)))</f>
        <v>0</v>
      </c>
      <c r="D30">
        <f>SUM(((SUMPRODUCT((Cronograma!C$2:C$30=$A30)*1)=0)*NOT(SUMPRODUCT((Cronograma!D$2:D$30=$A30)*(Cronograma!$B$2:$B$30=FALSE))&gt;0)),(((SUMPRODUCT((Cronograma!D$2:D$30=$A30)*1)=0)*NOT(SUMPRODUCT((Cronograma!C$2:C$30=$A30)*(Cronograma!$B$2:$B$30=TRUE))&gt;0))+((SUMPRODUCT((Cronograma!D$2:D$30=$A30)*1)=0)*NOT(SUMPRODUCT((Cronograma!E$2:E$30=$A30)*(Cronograma!$B$2:$B$30=FALSE))&gt;0))&gt;0),(((SUMPRODUCT((Cronograma!E$2:E$30=$A30)*1)=0)*NOT(SUMPRODUCT((Cronograma!D$2:D$30=$A30)*(Cronograma!$B$2:$B$30=TRUE))&gt;0))+((SUMPRODUCT((Cronograma!E$2:E$30=$A30)*1)=0)*NOT(SUMPRODUCT((Cronograma!F$2:F$30=$A30)*(Cronograma!$B$2:$B$30=FALSE))&gt;0))&gt;0),(((SUMPRODUCT((Cronograma!F$2:F$30=$A30)*1)=0)*NOT(SUMPRODUCT((Cronograma!E$2:E$30=$A30)*(Cronograma!$B$2:$B$30=TRUE))&gt;0))+((SUMPRODUCT((Cronograma!F$2:F$30=$A30)*1)=0)*NOT(SUMPRODUCT((Cronograma!G$2:G$30=$A30)*(Cronograma!$B$2:$B$30=FALSE))&gt;0))&gt;0),(((SUMPRODUCT((Cronograma!G$2:G$30=$A30)*1)=0)*NOT(SUMPRODUCT((Cronograma!F$2:F$30=$A30)*(Cronograma!$B$2:$B$30=TRUE))&gt;0))+((SUMPRODUCT((Cronograma!G$2:G$30=$A30)*1)=0)*NOT(SUMPRODUCT((Cronograma!H$2:H$30=$A30)*(Cronograma!$B$2:$B$30=FALSE))&gt;0))&gt;0),(((SUMPRODUCT((Cronograma!H$2:H$30=$A30)*1)=0)*NOT(SUMPRODUCT((Cronograma!G$2:G$30=$A30)*(Cronograma!$B$2:$B$30=TRUE))&gt;0))+((SUMPRODUCT((Cronograma!H$2:H$30=$A30)*1)=0)*NOT(SUMPRODUCT((Cronograma!I$2:I$30=$A30)*(Cronograma!$B$2:$B$30=FALSE))&gt;0))&gt;0),(((SUMPRODUCT((Cronograma!I$2:I$30=$A30)*1)=0)*NOT(SUMPRODUCT((Cronograma!H$2:H$30=$A30)*(Cronograma!$B$2:$B$30=TRUE))&gt;0))+((SUMPRODUCT((Cronograma!I$2:I$30=$A30)*1)=0)*NOT(SUMPRODUCT((Cronograma!J$2:J$30=$A30)*(Cronograma!$B$2:$B$30=FALSE))&gt;0))&gt;0),(((SUMPRODUCT((Cronograma!J$2:J$30=$A30)*1)=0)*NOT(SUMPRODUCT((Cronograma!I$2:I$30=$A30)*(Cronograma!$B$2:$B$30=TRUE))&gt;0))+((SUMPRODUCT((Cronograma!J$2:J$30=$A30)*1)=0)*NOT(SUMPRODUCT((Cronograma!K$2:K$30=$A30)*(Cronograma!$B$2:$B$30=FALSE))&gt;0))&gt;0),(((SUMPRODUCT((Cronograma!K$2:K$30=$A30)*1)=0)*NOT(SUMPRODUCT((Cronograma!J$2:J$30=$A30)*(Cronograma!$B$2:$B$30=TRUE))&gt;0))+((SUMPRODUCT((Cronograma!K$2:K$30=$A30)*1)=0)*NOT(SUMPRODUCT((Cronograma!L$2:L$30=$A30)*(Cronograma!$B$2:$B$30=FALSE))&gt;0))&gt;0),(((SUMPRODUCT((Cronograma!L$2:L$30=$A30)*1)=0)*NOT(SUMPRODUCT((Cronograma!K$2:K$30=$A30)*(Cronograma!$B$2:$B$30=TRUE))&gt;0))+((SUMPRODUCT((Cronograma!L$2:L$30=$A30)*1)=0)*NOT(SUMPRODUCT((Cronograma!M$2:M$30=$A30)*(Cronograma!$B$2:$B$30=FALSE))&gt;0))&gt;0),(((SUMPRODUCT((Cronograma!M$2:M$30=$A30)*1)=0)*NOT(SUMPRODUCT((Cronograma!L$2:L$30=$A30)*(Cronograma!$B$2:$B$30=TRUE))&gt;0))+((SUMPRODUCT((Cronograma!M$2:M$30=$A30)*1)=0)*NOT(SUMPRODUCT((Cronograma!N$2:N$30=$A30)*(Cronograma!$B$2:$B$30=FALSE))&gt;0))&gt;0),(((SUMPRODUCT((Cronograma!N$2:N$30=$A30)*1)=0)*NOT(SUMPRODUCT((Cronograma!M$2:M$30=$A30)*(Cronograma!$B$2:$B$30=TRUE))&gt;0))+((SUMPRODUCT((Cronograma!N$2:N$30=$A30)*1)=0)*NOT(SUMPRODUCT((Cronograma!O$2:O$30=$A30)*(Cronograma!$B$2:$B$30=FALSE))&gt;0))&gt;0),(((SUMPRODUCT((Cronograma!O$2:O$30=$A30)*1)=0)*NOT(SUMPRODUCT((Cronograma!N$2:N$30=$A30)*(Cronograma!$B$2:$B$30=TRUE))&gt;0))+((SUMPRODUCT((Cronograma!O$2:O$30=$A30)*1)=0)*NOT(SUMPRODUCT((Cronograma!P$2:P$30=$A30)*(Cronograma!$B$2:$B$30=FALSE))&gt;0))&gt;0),(((SUMPRODUCT((Cronograma!P$2:P$30=$A30)*1)=0)*NOT(SUMPRODUCT((Cronograma!O$2:O$30=$A30)*(Cronograma!$B$2:$B$30=TRUE))&gt;0))+((SUMPRODUCT((Cronograma!P$2:P$30=$A30)*1)=0)*NOT(SUMPRODUCT((Cronograma!Q$2:Q$30=$A30)*(Cronograma!$B$2:$B$30=FALSE))&gt;0))&gt;0),((SUMPRODUCT((Cronograma!Q$2:Q$30=$A30)*1)=0)*NOT(SUMPRODUCT((Cronograma!P$2:P$30=$A30)*(Cronograma!$B$2:$B$30=TRUE))&gt;0)))</f>
        <v>0</v>
      </c>
      <c r="E30" cm="1">
        <f t="array" ref="E30">_xlfn.XLOOKUP("Ofelia",Cronograma!C2:C30,Cronograma!A2:A30,"")</f>
        <v>0</v>
      </c>
      <c r="F30" cm="1">
        <f t="array" ref="F30">_xlfn.XLOOKUP("Ofelia",Cronograma!D2:D30,Cronograma!A2:A30,"")</f>
        <v>0</v>
      </c>
      <c r="G30" cm="1">
        <f t="array" ref="G30">_xlfn.XLOOKUP("Ofelia",Cronograma!E2:E30,Cronograma!A2:A30,"")</f>
        <v>0</v>
      </c>
      <c r="H30" cm="1">
        <f t="array" ref="H30">_xlfn.XLOOKUP("Ofelia",Cronograma!F2:F30,Cronograma!A2:A30,"")</f>
        <v>0</v>
      </c>
      <c r="I30" cm="1">
        <f t="array" ref="I30">_xlfn.XLOOKUP("Ofelia",Cronograma!G2:G30,Cronograma!A2:A30,"")</f>
        <v>0</v>
      </c>
      <c r="J30" cm="1">
        <f t="array" ref="J30">_xlfn.XLOOKUP("Ofelia",Cronograma!H2:H30,Cronograma!A2:A30,"")</f>
        <v>0</v>
      </c>
      <c r="K30" cm="1">
        <f t="array" ref="K30">_xlfn.XLOOKUP("Ofelia",Cronograma!I2:I30,Cronograma!A2:A30,"")</f>
        <v>0</v>
      </c>
      <c r="L30" cm="1">
        <f t="array" ref="L30">_xlfn.XLOOKUP("Ofelia",Cronograma!J2:J30,Cronograma!A2:A30,"")</f>
        <v>0</v>
      </c>
      <c r="M30" cm="1">
        <f t="array" ref="M30">_xlfn.XLOOKUP("Ofelia",Cronograma!K2:K30,Cronograma!A2:A30,"")</f>
        <v>0</v>
      </c>
      <c r="N30" cm="1">
        <f t="array" ref="N30">_xlfn.XLOOKUP("Ofelia",Cronograma!L2:L30,Cronograma!A2:A30,"")</f>
        <v>0</v>
      </c>
      <c r="O30" cm="1">
        <f t="array" ref="O30">_xlfn.XLOOKUP("Ofelia",Cronograma!M2:M30,Cronograma!A2:A30,"")</f>
        <v>0</v>
      </c>
      <c r="P30" cm="1">
        <f t="array" ref="P30">_xlfn.XLOOKUP("Ofelia",Cronograma!N2:N30,Cronograma!A2:A30,"")</f>
        <v>0</v>
      </c>
      <c r="Q30" cm="1">
        <f t="array" ref="Q30">_xlfn.XLOOKUP("Ofelia",Cronograma!O2:O30,Cronograma!A2:A30,"")</f>
        <v>0</v>
      </c>
      <c r="R30" cm="1">
        <f t="array" ref="R30">_xlfn.XLOOKUP("Ofelia",Cronograma!P2:P30,Cronograma!A2:A30,"")</f>
        <v>0</v>
      </c>
      <c r="S30" cm="1">
        <f t="array" ref="S30">_xlfn.XLOOKUP("Ofelia",Cronograma!Q2:Q30,Cronograma!A2:A30,"")</f>
        <v>0</v>
      </c>
    </row>
    <row r="31" spans="1:19">
      <c r="A31" t="s">
        <v>47</v>
      </c>
      <c r="B31">
        <f>SUMPRODUCT((Cronograma!B2:B30=FALSE) * (COUNTIF(E31:S31, Cronograma!A2:A30)))</f>
        <v>0</v>
      </c>
      <c r="C31">
        <f>SUMPRODUCT((Cronograma!B2:B30=TRUE) * (COUNTIF(E31:S31, Cronograma!A2:A30)))</f>
        <v>0</v>
      </c>
      <c r="D31">
        <f>SUM(((SUMPRODUCT((Cronograma!C$2:C$30=$A31)*1)=0)*NOT(SUMPRODUCT((Cronograma!D$2:D$30=$A31)*(Cronograma!$B$2:$B$30=FALSE))&gt;0)),(((SUMPRODUCT((Cronograma!D$2:D$30=$A31)*1)=0)*NOT(SUMPRODUCT((Cronograma!C$2:C$30=$A31)*(Cronograma!$B$2:$B$30=TRUE))&gt;0))+((SUMPRODUCT((Cronograma!D$2:D$30=$A31)*1)=0)*NOT(SUMPRODUCT((Cronograma!E$2:E$30=$A31)*(Cronograma!$B$2:$B$30=FALSE))&gt;0))&gt;0),(((SUMPRODUCT((Cronograma!E$2:E$30=$A31)*1)=0)*NOT(SUMPRODUCT((Cronograma!D$2:D$30=$A31)*(Cronograma!$B$2:$B$30=TRUE))&gt;0))+((SUMPRODUCT((Cronograma!E$2:E$30=$A31)*1)=0)*NOT(SUMPRODUCT((Cronograma!F$2:F$30=$A31)*(Cronograma!$B$2:$B$30=FALSE))&gt;0))&gt;0),(((SUMPRODUCT((Cronograma!F$2:F$30=$A31)*1)=0)*NOT(SUMPRODUCT((Cronograma!E$2:E$30=$A31)*(Cronograma!$B$2:$B$30=TRUE))&gt;0))+((SUMPRODUCT((Cronograma!F$2:F$30=$A31)*1)=0)*NOT(SUMPRODUCT((Cronograma!G$2:G$30=$A31)*(Cronograma!$B$2:$B$30=FALSE))&gt;0))&gt;0),(((SUMPRODUCT((Cronograma!G$2:G$30=$A31)*1)=0)*NOT(SUMPRODUCT((Cronograma!F$2:F$30=$A31)*(Cronograma!$B$2:$B$30=TRUE))&gt;0))+((SUMPRODUCT((Cronograma!G$2:G$30=$A31)*1)=0)*NOT(SUMPRODUCT((Cronograma!H$2:H$30=$A31)*(Cronograma!$B$2:$B$30=FALSE))&gt;0))&gt;0),(((SUMPRODUCT((Cronograma!H$2:H$30=$A31)*1)=0)*NOT(SUMPRODUCT((Cronograma!G$2:G$30=$A31)*(Cronograma!$B$2:$B$30=TRUE))&gt;0))+((SUMPRODUCT((Cronograma!H$2:H$30=$A31)*1)=0)*NOT(SUMPRODUCT((Cronograma!I$2:I$30=$A31)*(Cronograma!$B$2:$B$30=FALSE))&gt;0))&gt;0),(((SUMPRODUCT((Cronograma!I$2:I$30=$A31)*1)=0)*NOT(SUMPRODUCT((Cronograma!H$2:H$30=$A31)*(Cronograma!$B$2:$B$30=TRUE))&gt;0))+((SUMPRODUCT((Cronograma!I$2:I$30=$A31)*1)=0)*NOT(SUMPRODUCT((Cronograma!J$2:J$30=$A31)*(Cronograma!$B$2:$B$30=FALSE))&gt;0))&gt;0),(((SUMPRODUCT((Cronograma!J$2:J$30=$A31)*1)=0)*NOT(SUMPRODUCT((Cronograma!I$2:I$30=$A31)*(Cronograma!$B$2:$B$30=TRUE))&gt;0))+((SUMPRODUCT((Cronograma!J$2:J$30=$A31)*1)=0)*NOT(SUMPRODUCT((Cronograma!K$2:K$30=$A31)*(Cronograma!$B$2:$B$30=FALSE))&gt;0))&gt;0),(((SUMPRODUCT((Cronograma!K$2:K$30=$A31)*1)=0)*NOT(SUMPRODUCT((Cronograma!J$2:J$30=$A31)*(Cronograma!$B$2:$B$30=TRUE))&gt;0))+((SUMPRODUCT((Cronograma!K$2:K$30=$A31)*1)=0)*NOT(SUMPRODUCT((Cronograma!L$2:L$30=$A31)*(Cronograma!$B$2:$B$30=FALSE))&gt;0))&gt;0),(((SUMPRODUCT((Cronograma!L$2:L$30=$A31)*1)=0)*NOT(SUMPRODUCT((Cronograma!K$2:K$30=$A31)*(Cronograma!$B$2:$B$30=TRUE))&gt;0))+((SUMPRODUCT((Cronograma!L$2:L$30=$A31)*1)=0)*NOT(SUMPRODUCT((Cronograma!M$2:M$30=$A31)*(Cronograma!$B$2:$B$30=FALSE))&gt;0))&gt;0),(((SUMPRODUCT((Cronograma!M$2:M$30=$A31)*1)=0)*NOT(SUMPRODUCT((Cronograma!L$2:L$30=$A31)*(Cronograma!$B$2:$B$30=TRUE))&gt;0))+((SUMPRODUCT((Cronograma!M$2:M$30=$A31)*1)=0)*NOT(SUMPRODUCT((Cronograma!N$2:N$30=$A31)*(Cronograma!$B$2:$B$30=FALSE))&gt;0))&gt;0),(((SUMPRODUCT((Cronograma!N$2:N$30=$A31)*1)=0)*NOT(SUMPRODUCT((Cronograma!M$2:M$30=$A31)*(Cronograma!$B$2:$B$30=TRUE))&gt;0))+((SUMPRODUCT((Cronograma!N$2:N$30=$A31)*1)=0)*NOT(SUMPRODUCT((Cronograma!O$2:O$30=$A31)*(Cronograma!$B$2:$B$30=FALSE))&gt;0))&gt;0),(((SUMPRODUCT((Cronograma!O$2:O$30=$A31)*1)=0)*NOT(SUMPRODUCT((Cronograma!N$2:N$30=$A31)*(Cronograma!$B$2:$B$30=TRUE))&gt;0))+((SUMPRODUCT((Cronograma!O$2:O$30=$A31)*1)=0)*NOT(SUMPRODUCT((Cronograma!P$2:P$30=$A31)*(Cronograma!$B$2:$B$30=FALSE))&gt;0))&gt;0),(((SUMPRODUCT((Cronograma!P$2:P$30=$A31)*1)=0)*NOT(SUMPRODUCT((Cronograma!O$2:O$30=$A31)*(Cronograma!$B$2:$B$30=TRUE))&gt;0))+((SUMPRODUCT((Cronograma!P$2:P$30=$A31)*1)=0)*NOT(SUMPRODUCT((Cronograma!Q$2:Q$30=$A31)*(Cronograma!$B$2:$B$30=FALSE))&gt;0))&gt;0),((SUMPRODUCT((Cronograma!Q$2:Q$30=$A31)*1)=0)*NOT(SUMPRODUCT((Cronograma!P$2:P$30=$A31)*(Cronograma!$B$2:$B$30=TRUE))&gt;0)))</f>
        <v>0</v>
      </c>
      <c r="E31" cm="1">
        <f t="array" ref="E31">_xlfn.XLOOKUP("Jeferson",Cronograma!C2:C30,Cronograma!A2:A30,"")</f>
        <v>0</v>
      </c>
      <c r="F31" cm="1">
        <f t="array" ref="F31">_xlfn.XLOOKUP("Jeferson",Cronograma!D2:D30,Cronograma!A2:A30,"")</f>
        <v>0</v>
      </c>
      <c r="G31" cm="1">
        <f t="array" ref="G31">_xlfn.XLOOKUP("Jeferson",Cronograma!E2:E30,Cronograma!A2:A30,"")</f>
        <v>0</v>
      </c>
      <c r="H31" cm="1">
        <f t="array" ref="H31">_xlfn.XLOOKUP("Jeferson",Cronograma!F2:F30,Cronograma!A2:A30,"")</f>
        <v>0</v>
      </c>
      <c r="I31" cm="1">
        <f t="array" ref="I31">_xlfn.XLOOKUP("Jeferson",Cronograma!G2:G30,Cronograma!A2:A30,"")</f>
        <v>0</v>
      </c>
      <c r="J31" cm="1">
        <f t="array" ref="J31">_xlfn.XLOOKUP("Jeferson",Cronograma!H2:H30,Cronograma!A2:A30,"")</f>
        <v>0</v>
      </c>
      <c r="K31" cm="1">
        <f t="array" ref="K31">_xlfn.XLOOKUP("Jeferson",Cronograma!I2:I30,Cronograma!A2:A30,"")</f>
        <v>0</v>
      </c>
      <c r="L31" cm="1">
        <f t="array" ref="L31">_xlfn.XLOOKUP("Jeferson",Cronograma!J2:J30,Cronograma!A2:A30,"")</f>
        <v>0</v>
      </c>
      <c r="M31" cm="1">
        <f t="array" ref="M31">_xlfn.XLOOKUP("Jeferson",Cronograma!K2:K30,Cronograma!A2:A30,"")</f>
        <v>0</v>
      </c>
      <c r="N31" cm="1">
        <f t="array" ref="N31">_xlfn.XLOOKUP("Jeferson",Cronograma!L2:L30,Cronograma!A2:A30,"")</f>
        <v>0</v>
      </c>
      <c r="O31" cm="1">
        <f t="array" ref="O31">_xlfn.XLOOKUP("Jeferson",Cronograma!M2:M30,Cronograma!A2:A30,"")</f>
        <v>0</v>
      </c>
      <c r="P31" cm="1">
        <f t="array" ref="P31">_xlfn.XLOOKUP("Jeferson",Cronograma!N2:N30,Cronograma!A2:A30,"")</f>
        <v>0</v>
      </c>
      <c r="Q31" cm="1">
        <f t="array" ref="Q31">_xlfn.XLOOKUP("Jeferson",Cronograma!O2:O30,Cronograma!A2:A30,"")</f>
        <v>0</v>
      </c>
      <c r="R31" cm="1">
        <f t="array" ref="R31">_xlfn.XLOOKUP("Jeferson",Cronograma!P2:P30,Cronograma!A2:A30,"")</f>
        <v>0</v>
      </c>
      <c r="S31" cm="1">
        <f t="array" ref="S31">_xlfn.XLOOKUP("Jeferson",Cronograma!Q2:Q30,Cronograma!A2:A30,"")</f>
        <v>0</v>
      </c>
    </row>
    <row r="32" spans="1:19">
      <c r="A32" t="s">
        <v>36</v>
      </c>
      <c r="B32">
        <f>SUMPRODUCT((Cronograma!B2:B30=FALSE) * (COUNTIF(E32:S32, Cronograma!A2:A30)))</f>
        <v>0</v>
      </c>
      <c r="C32">
        <f>SUMPRODUCT((Cronograma!B2:B30=TRUE) * (COUNTIF(E32:S32, Cronograma!A2:A30)))</f>
        <v>0</v>
      </c>
      <c r="D32">
        <f>SUM(((SUMPRODUCT((Cronograma!C$2:C$30=$A32)*1)=0)*NOT(SUMPRODUCT((Cronograma!D$2:D$30=$A32)*(Cronograma!$B$2:$B$30=FALSE))&gt;0)),(((SUMPRODUCT((Cronograma!D$2:D$30=$A32)*1)=0)*NOT(SUMPRODUCT((Cronograma!C$2:C$30=$A32)*(Cronograma!$B$2:$B$30=TRUE))&gt;0))+((SUMPRODUCT((Cronograma!D$2:D$30=$A32)*1)=0)*NOT(SUMPRODUCT((Cronograma!E$2:E$30=$A32)*(Cronograma!$B$2:$B$30=FALSE))&gt;0))&gt;0),(((SUMPRODUCT((Cronograma!E$2:E$30=$A32)*1)=0)*NOT(SUMPRODUCT((Cronograma!D$2:D$30=$A32)*(Cronograma!$B$2:$B$30=TRUE))&gt;0))+((SUMPRODUCT((Cronograma!E$2:E$30=$A32)*1)=0)*NOT(SUMPRODUCT((Cronograma!F$2:F$30=$A32)*(Cronograma!$B$2:$B$30=FALSE))&gt;0))&gt;0),(((SUMPRODUCT((Cronograma!F$2:F$30=$A32)*1)=0)*NOT(SUMPRODUCT((Cronograma!E$2:E$30=$A32)*(Cronograma!$B$2:$B$30=TRUE))&gt;0))+((SUMPRODUCT((Cronograma!F$2:F$30=$A32)*1)=0)*NOT(SUMPRODUCT((Cronograma!G$2:G$30=$A32)*(Cronograma!$B$2:$B$30=FALSE))&gt;0))&gt;0),(((SUMPRODUCT((Cronograma!G$2:G$30=$A32)*1)=0)*NOT(SUMPRODUCT((Cronograma!F$2:F$30=$A32)*(Cronograma!$B$2:$B$30=TRUE))&gt;0))+((SUMPRODUCT((Cronograma!G$2:G$30=$A32)*1)=0)*NOT(SUMPRODUCT((Cronograma!H$2:H$30=$A32)*(Cronograma!$B$2:$B$30=FALSE))&gt;0))&gt;0),(((SUMPRODUCT((Cronograma!H$2:H$30=$A32)*1)=0)*NOT(SUMPRODUCT((Cronograma!G$2:G$30=$A32)*(Cronograma!$B$2:$B$30=TRUE))&gt;0))+((SUMPRODUCT((Cronograma!H$2:H$30=$A32)*1)=0)*NOT(SUMPRODUCT((Cronograma!I$2:I$30=$A32)*(Cronograma!$B$2:$B$30=FALSE))&gt;0))&gt;0),(((SUMPRODUCT((Cronograma!I$2:I$30=$A32)*1)=0)*NOT(SUMPRODUCT((Cronograma!H$2:H$30=$A32)*(Cronograma!$B$2:$B$30=TRUE))&gt;0))+((SUMPRODUCT((Cronograma!I$2:I$30=$A32)*1)=0)*NOT(SUMPRODUCT((Cronograma!J$2:J$30=$A32)*(Cronograma!$B$2:$B$30=FALSE))&gt;0))&gt;0),(((SUMPRODUCT((Cronograma!J$2:J$30=$A32)*1)=0)*NOT(SUMPRODUCT((Cronograma!I$2:I$30=$A32)*(Cronograma!$B$2:$B$30=TRUE))&gt;0))+((SUMPRODUCT((Cronograma!J$2:J$30=$A32)*1)=0)*NOT(SUMPRODUCT((Cronograma!K$2:K$30=$A32)*(Cronograma!$B$2:$B$30=FALSE))&gt;0))&gt;0),(((SUMPRODUCT((Cronograma!K$2:K$30=$A32)*1)=0)*NOT(SUMPRODUCT((Cronograma!J$2:J$30=$A32)*(Cronograma!$B$2:$B$30=TRUE))&gt;0))+((SUMPRODUCT((Cronograma!K$2:K$30=$A32)*1)=0)*NOT(SUMPRODUCT((Cronograma!L$2:L$30=$A32)*(Cronograma!$B$2:$B$30=FALSE))&gt;0))&gt;0),(((SUMPRODUCT((Cronograma!L$2:L$30=$A32)*1)=0)*NOT(SUMPRODUCT((Cronograma!K$2:K$30=$A32)*(Cronograma!$B$2:$B$30=TRUE))&gt;0))+((SUMPRODUCT((Cronograma!L$2:L$30=$A32)*1)=0)*NOT(SUMPRODUCT((Cronograma!M$2:M$30=$A32)*(Cronograma!$B$2:$B$30=FALSE))&gt;0))&gt;0),(((SUMPRODUCT((Cronograma!M$2:M$30=$A32)*1)=0)*NOT(SUMPRODUCT((Cronograma!L$2:L$30=$A32)*(Cronograma!$B$2:$B$30=TRUE))&gt;0))+((SUMPRODUCT((Cronograma!M$2:M$30=$A32)*1)=0)*NOT(SUMPRODUCT((Cronograma!N$2:N$30=$A32)*(Cronograma!$B$2:$B$30=FALSE))&gt;0))&gt;0),(((SUMPRODUCT((Cronograma!N$2:N$30=$A32)*1)=0)*NOT(SUMPRODUCT((Cronograma!M$2:M$30=$A32)*(Cronograma!$B$2:$B$30=TRUE))&gt;0))+((SUMPRODUCT((Cronograma!N$2:N$30=$A32)*1)=0)*NOT(SUMPRODUCT((Cronograma!O$2:O$30=$A32)*(Cronograma!$B$2:$B$30=FALSE))&gt;0))&gt;0),(((SUMPRODUCT((Cronograma!O$2:O$30=$A32)*1)=0)*NOT(SUMPRODUCT((Cronograma!N$2:N$30=$A32)*(Cronograma!$B$2:$B$30=TRUE))&gt;0))+((SUMPRODUCT((Cronograma!O$2:O$30=$A32)*1)=0)*NOT(SUMPRODUCT((Cronograma!P$2:P$30=$A32)*(Cronograma!$B$2:$B$30=FALSE))&gt;0))&gt;0),(((SUMPRODUCT((Cronograma!P$2:P$30=$A32)*1)=0)*NOT(SUMPRODUCT((Cronograma!O$2:O$30=$A32)*(Cronograma!$B$2:$B$30=TRUE))&gt;0))+((SUMPRODUCT((Cronograma!P$2:P$30=$A32)*1)=0)*NOT(SUMPRODUCT((Cronograma!Q$2:Q$30=$A32)*(Cronograma!$B$2:$B$30=FALSE))&gt;0))&gt;0),((SUMPRODUCT((Cronograma!Q$2:Q$30=$A32)*1)=0)*NOT(SUMPRODUCT((Cronograma!P$2:P$30=$A32)*(Cronograma!$B$2:$B$30=TRUE))&gt;0)))</f>
        <v>0</v>
      </c>
      <c r="E32" cm="1">
        <f t="array" ref="E32">_xlfn.XLOOKUP("Dora",Cronograma!C2:C30,Cronograma!A2:A30,"")</f>
        <v>0</v>
      </c>
      <c r="F32" cm="1">
        <f t="array" ref="F32">_xlfn.XLOOKUP("Dora",Cronograma!D2:D30,Cronograma!A2:A30,"")</f>
        <v>0</v>
      </c>
      <c r="G32" cm="1">
        <f t="array" ref="G32">_xlfn.XLOOKUP("Dora",Cronograma!E2:E30,Cronograma!A2:A30,"")</f>
        <v>0</v>
      </c>
      <c r="H32" cm="1">
        <f t="array" ref="H32">_xlfn.XLOOKUP("Dora",Cronograma!F2:F30,Cronograma!A2:A30,"")</f>
        <v>0</v>
      </c>
      <c r="I32" cm="1">
        <f t="array" ref="I32">_xlfn.XLOOKUP("Dora",Cronograma!G2:G30,Cronograma!A2:A30,"")</f>
        <v>0</v>
      </c>
      <c r="J32" cm="1">
        <f t="array" ref="J32">_xlfn.XLOOKUP("Dora",Cronograma!H2:H30,Cronograma!A2:A30,"")</f>
        <v>0</v>
      </c>
      <c r="K32" cm="1">
        <f t="array" ref="K32">_xlfn.XLOOKUP("Dora",Cronograma!I2:I30,Cronograma!A2:A30,"")</f>
        <v>0</v>
      </c>
      <c r="L32" cm="1">
        <f t="array" ref="L32">_xlfn.XLOOKUP("Dora",Cronograma!J2:J30,Cronograma!A2:A30,"")</f>
        <v>0</v>
      </c>
      <c r="M32" cm="1">
        <f t="array" ref="M32">_xlfn.XLOOKUP("Dora",Cronograma!K2:K30,Cronograma!A2:A30,"")</f>
        <v>0</v>
      </c>
      <c r="N32" cm="1">
        <f t="array" ref="N32">_xlfn.XLOOKUP("Dora",Cronograma!L2:L30,Cronograma!A2:A30,"")</f>
        <v>0</v>
      </c>
      <c r="O32" cm="1">
        <f t="array" ref="O32">_xlfn.XLOOKUP("Dora",Cronograma!M2:M30,Cronograma!A2:A30,"")</f>
        <v>0</v>
      </c>
      <c r="P32" cm="1">
        <f t="array" ref="P32">_xlfn.XLOOKUP("Dora",Cronograma!N2:N30,Cronograma!A2:A30,"")</f>
        <v>0</v>
      </c>
      <c r="Q32" cm="1">
        <f t="array" ref="Q32">_xlfn.XLOOKUP("Dora",Cronograma!O2:O30,Cronograma!A2:A30,"")</f>
        <v>0</v>
      </c>
      <c r="R32" cm="1">
        <f t="array" ref="R32">_xlfn.XLOOKUP("Dora",Cronograma!P2:P30,Cronograma!A2:A30,"")</f>
        <v>0</v>
      </c>
      <c r="S32" cm="1">
        <f t="array" ref="S32">_xlfn.XLOOKUP("Dora",Cronograma!Q2:Q30,Cronograma!A2:A30,"")</f>
        <v>0</v>
      </c>
    </row>
    <row r="33" spans="1:19">
      <c r="A33" t="s">
        <v>42</v>
      </c>
      <c r="B33">
        <f>SUMPRODUCT((Cronograma!B2:B30=FALSE) * (COUNTIF(E33:S33, Cronograma!A2:A30)))</f>
        <v>0</v>
      </c>
      <c r="C33">
        <f>SUMPRODUCT((Cronograma!B2:B30=TRUE) * (COUNTIF(E33:S33, Cronograma!A2:A30)))</f>
        <v>0</v>
      </c>
      <c r="D33">
        <f>SUM(((SUMPRODUCT((Cronograma!C$2:C$30=$A33)*1)=0)*NOT(SUMPRODUCT((Cronograma!D$2:D$30=$A33)*(Cronograma!$B$2:$B$30=FALSE))&gt;0)),(((SUMPRODUCT((Cronograma!D$2:D$30=$A33)*1)=0)*NOT(SUMPRODUCT((Cronograma!C$2:C$30=$A33)*(Cronograma!$B$2:$B$30=TRUE))&gt;0))+((SUMPRODUCT((Cronograma!D$2:D$30=$A33)*1)=0)*NOT(SUMPRODUCT((Cronograma!E$2:E$30=$A33)*(Cronograma!$B$2:$B$30=FALSE))&gt;0))&gt;0),(((SUMPRODUCT((Cronograma!E$2:E$30=$A33)*1)=0)*NOT(SUMPRODUCT((Cronograma!D$2:D$30=$A33)*(Cronograma!$B$2:$B$30=TRUE))&gt;0))+((SUMPRODUCT((Cronograma!E$2:E$30=$A33)*1)=0)*NOT(SUMPRODUCT((Cronograma!F$2:F$30=$A33)*(Cronograma!$B$2:$B$30=FALSE))&gt;0))&gt;0),(((SUMPRODUCT((Cronograma!F$2:F$30=$A33)*1)=0)*NOT(SUMPRODUCT((Cronograma!E$2:E$30=$A33)*(Cronograma!$B$2:$B$30=TRUE))&gt;0))+((SUMPRODUCT((Cronograma!F$2:F$30=$A33)*1)=0)*NOT(SUMPRODUCT((Cronograma!G$2:G$30=$A33)*(Cronograma!$B$2:$B$30=FALSE))&gt;0))&gt;0),(((SUMPRODUCT((Cronograma!G$2:G$30=$A33)*1)=0)*NOT(SUMPRODUCT((Cronograma!F$2:F$30=$A33)*(Cronograma!$B$2:$B$30=TRUE))&gt;0))+((SUMPRODUCT((Cronograma!G$2:G$30=$A33)*1)=0)*NOT(SUMPRODUCT((Cronograma!H$2:H$30=$A33)*(Cronograma!$B$2:$B$30=FALSE))&gt;0))&gt;0),(((SUMPRODUCT((Cronograma!H$2:H$30=$A33)*1)=0)*NOT(SUMPRODUCT((Cronograma!G$2:G$30=$A33)*(Cronograma!$B$2:$B$30=TRUE))&gt;0))+((SUMPRODUCT((Cronograma!H$2:H$30=$A33)*1)=0)*NOT(SUMPRODUCT((Cronograma!I$2:I$30=$A33)*(Cronograma!$B$2:$B$30=FALSE))&gt;0))&gt;0),(((SUMPRODUCT((Cronograma!I$2:I$30=$A33)*1)=0)*NOT(SUMPRODUCT((Cronograma!H$2:H$30=$A33)*(Cronograma!$B$2:$B$30=TRUE))&gt;0))+((SUMPRODUCT((Cronograma!I$2:I$30=$A33)*1)=0)*NOT(SUMPRODUCT((Cronograma!J$2:J$30=$A33)*(Cronograma!$B$2:$B$30=FALSE))&gt;0))&gt;0),(((SUMPRODUCT((Cronograma!J$2:J$30=$A33)*1)=0)*NOT(SUMPRODUCT((Cronograma!I$2:I$30=$A33)*(Cronograma!$B$2:$B$30=TRUE))&gt;0))+((SUMPRODUCT((Cronograma!J$2:J$30=$A33)*1)=0)*NOT(SUMPRODUCT((Cronograma!K$2:K$30=$A33)*(Cronograma!$B$2:$B$30=FALSE))&gt;0))&gt;0),(((SUMPRODUCT((Cronograma!K$2:K$30=$A33)*1)=0)*NOT(SUMPRODUCT((Cronograma!J$2:J$30=$A33)*(Cronograma!$B$2:$B$30=TRUE))&gt;0))+((SUMPRODUCT((Cronograma!K$2:K$30=$A33)*1)=0)*NOT(SUMPRODUCT((Cronograma!L$2:L$30=$A33)*(Cronograma!$B$2:$B$30=FALSE))&gt;0))&gt;0),(((SUMPRODUCT((Cronograma!L$2:L$30=$A33)*1)=0)*NOT(SUMPRODUCT((Cronograma!K$2:K$30=$A33)*(Cronograma!$B$2:$B$30=TRUE))&gt;0))+((SUMPRODUCT((Cronograma!L$2:L$30=$A33)*1)=0)*NOT(SUMPRODUCT((Cronograma!M$2:M$30=$A33)*(Cronograma!$B$2:$B$30=FALSE))&gt;0))&gt;0),(((SUMPRODUCT((Cronograma!M$2:M$30=$A33)*1)=0)*NOT(SUMPRODUCT((Cronograma!L$2:L$30=$A33)*(Cronograma!$B$2:$B$30=TRUE))&gt;0))+((SUMPRODUCT((Cronograma!M$2:M$30=$A33)*1)=0)*NOT(SUMPRODUCT((Cronograma!N$2:N$30=$A33)*(Cronograma!$B$2:$B$30=FALSE))&gt;0))&gt;0),(((SUMPRODUCT((Cronograma!N$2:N$30=$A33)*1)=0)*NOT(SUMPRODUCT((Cronograma!M$2:M$30=$A33)*(Cronograma!$B$2:$B$30=TRUE))&gt;0))+((SUMPRODUCT((Cronograma!N$2:N$30=$A33)*1)=0)*NOT(SUMPRODUCT((Cronograma!O$2:O$30=$A33)*(Cronograma!$B$2:$B$30=FALSE))&gt;0))&gt;0),(((SUMPRODUCT((Cronograma!O$2:O$30=$A33)*1)=0)*NOT(SUMPRODUCT((Cronograma!N$2:N$30=$A33)*(Cronograma!$B$2:$B$30=TRUE))&gt;0))+((SUMPRODUCT((Cronograma!O$2:O$30=$A33)*1)=0)*NOT(SUMPRODUCT((Cronograma!P$2:P$30=$A33)*(Cronograma!$B$2:$B$30=FALSE))&gt;0))&gt;0),(((SUMPRODUCT((Cronograma!P$2:P$30=$A33)*1)=0)*NOT(SUMPRODUCT((Cronograma!O$2:O$30=$A33)*(Cronograma!$B$2:$B$30=TRUE))&gt;0))+((SUMPRODUCT((Cronograma!P$2:P$30=$A33)*1)=0)*NOT(SUMPRODUCT((Cronograma!Q$2:Q$30=$A33)*(Cronograma!$B$2:$B$30=FALSE))&gt;0))&gt;0),((SUMPRODUCT((Cronograma!Q$2:Q$30=$A33)*1)=0)*NOT(SUMPRODUCT((Cronograma!P$2:P$30=$A33)*(Cronograma!$B$2:$B$30=TRUE))&gt;0)))</f>
        <v>0</v>
      </c>
      <c r="E33" cm="1">
        <f t="array" ref="E33">_xlfn.XLOOKUP("Carolina",Cronograma!C2:C30,Cronograma!A2:A30,"")</f>
        <v>0</v>
      </c>
      <c r="F33" cm="1">
        <f t="array" ref="F33">_xlfn.XLOOKUP("Carolina",Cronograma!D2:D30,Cronograma!A2:A30,"")</f>
        <v>0</v>
      </c>
      <c r="G33" cm="1">
        <f t="array" ref="G33">_xlfn.XLOOKUP("Carolina",Cronograma!E2:E30,Cronograma!A2:A30,"")</f>
        <v>0</v>
      </c>
      <c r="H33" cm="1">
        <f t="array" ref="H33">_xlfn.XLOOKUP("Carolina",Cronograma!F2:F30,Cronograma!A2:A30,"")</f>
        <v>0</v>
      </c>
      <c r="I33" cm="1">
        <f t="array" ref="I33">_xlfn.XLOOKUP("Carolina",Cronograma!G2:G30,Cronograma!A2:A30,"")</f>
        <v>0</v>
      </c>
      <c r="J33" cm="1">
        <f t="array" ref="J33">_xlfn.XLOOKUP("Carolina",Cronograma!H2:H30,Cronograma!A2:A30,"")</f>
        <v>0</v>
      </c>
      <c r="K33" cm="1">
        <f t="array" ref="K33">_xlfn.XLOOKUP("Carolina",Cronograma!I2:I30,Cronograma!A2:A30,"")</f>
        <v>0</v>
      </c>
      <c r="L33" cm="1">
        <f t="array" ref="L33">_xlfn.XLOOKUP("Carolina",Cronograma!J2:J30,Cronograma!A2:A30,"")</f>
        <v>0</v>
      </c>
      <c r="M33" cm="1">
        <f t="array" ref="M33">_xlfn.XLOOKUP("Carolina",Cronograma!K2:K30,Cronograma!A2:A30,"")</f>
        <v>0</v>
      </c>
      <c r="N33" cm="1">
        <f t="array" ref="N33">_xlfn.XLOOKUP("Carolina",Cronograma!L2:L30,Cronograma!A2:A30,"")</f>
        <v>0</v>
      </c>
      <c r="O33" cm="1">
        <f t="array" ref="O33">_xlfn.XLOOKUP("Carolina",Cronograma!M2:M30,Cronograma!A2:A30,"")</f>
        <v>0</v>
      </c>
      <c r="P33" cm="1">
        <f t="array" ref="P33">_xlfn.XLOOKUP("Carolina",Cronograma!N2:N30,Cronograma!A2:A30,"")</f>
        <v>0</v>
      </c>
      <c r="Q33" cm="1">
        <f t="array" ref="Q33">_xlfn.XLOOKUP("Carolina",Cronograma!O2:O30,Cronograma!A2:A30,"")</f>
        <v>0</v>
      </c>
      <c r="R33" cm="1">
        <f t="array" ref="R33">_xlfn.XLOOKUP("Carolina",Cronograma!P2:P30,Cronograma!A2:A30,"")</f>
        <v>0</v>
      </c>
      <c r="S33" cm="1">
        <f t="array" ref="S33">_xlfn.XLOOKUP("Carolina",Cronograma!Q2:Q30,Cronograma!A2:A30,"")</f>
        <v>0</v>
      </c>
    </row>
    <row r="34" spans="1:19">
      <c r="A34" t="s">
        <v>43</v>
      </c>
      <c r="B34">
        <f>SUMPRODUCT((Cronograma!B2:B30=FALSE) * (COUNTIF(E34:S34, Cronograma!A2:A30)))</f>
        <v>0</v>
      </c>
      <c r="C34">
        <f>SUMPRODUCT((Cronograma!B2:B30=TRUE) * (COUNTIF(E34:S34, Cronograma!A2:A30)))</f>
        <v>0</v>
      </c>
      <c r="D34">
        <f>SUM(((SUMPRODUCT((Cronograma!C$2:C$30=$A34)*1)=0)*NOT(SUMPRODUCT((Cronograma!D$2:D$30=$A34)*(Cronograma!$B$2:$B$30=FALSE))&gt;0)),(((SUMPRODUCT((Cronograma!D$2:D$30=$A34)*1)=0)*NOT(SUMPRODUCT((Cronograma!C$2:C$30=$A34)*(Cronograma!$B$2:$B$30=TRUE))&gt;0))+((SUMPRODUCT((Cronograma!D$2:D$30=$A34)*1)=0)*NOT(SUMPRODUCT((Cronograma!E$2:E$30=$A34)*(Cronograma!$B$2:$B$30=FALSE))&gt;0))&gt;0),(((SUMPRODUCT((Cronograma!E$2:E$30=$A34)*1)=0)*NOT(SUMPRODUCT((Cronograma!D$2:D$30=$A34)*(Cronograma!$B$2:$B$30=TRUE))&gt;0))+((SUMPRODUCT((Cronograma!E$2:E$30=$A34)*1)=0)*NOT(SUMPRODUCT((Cronograma!F$2:F$30=$A34)*(Cronograma!$B$2:$B$30=FALSE))&gt;0))&gt;0),(((SUMPRODUCT((Cronograma!F$2:F$30=$A34)*1)=0)*NOT(SUMPRODUCT((Cronograma!E$2:E$30=$A34)*(Cronograma!$B$2:$B$30=TRUE))&gt;0))+((SUMPRODUCT((Cronograma!F$2:F$30=$A34)*1)=0)*NOT(SUMPRODUCT((Cronograma!G$2:G$30=$A34)*(Cronograma!$B$2:$B$30=FALSE))&gt;0))&gt;0),(((SUMPRODUCT((Cronograma!G$2:G$30=$A34)*1)=0)*NOT(SUMPRODUCT((Cronograma!F$2:F$30=$A34)*(Cronograma!$B$2:$B$30=TRUE))&gt;0))+((SUMPRODUCT((Cronograma!G$2:G$30=$A34)*1)=0)*NOT(SUMPRODUCT((Cronograma!H$2:H$30=$A34)*(Cronograma!$B$2:$B$30=FALSE))&gt;0))&gt;0),(((SUMPRODUCT((Cronograma!H$2:H$30=$A34)*1)=0)*NOT(SUMPRODUCT((Cronograma!G$2:G$30=$A34)*(Cronograma!$B$2:$B$30=TRUE))&gt;0))+((SUMPRODUCT((Cronograma!H$2:H$30=$A34)*1)=0)*NOT(SUMPRODUCT((Cronograma!I$2:I$30=$A34)*(Cronograma!$B$2:$B$30=FALSE))&gt;0))&gt;0),(((SUMPRODUCT((Cronograma!I$2:I$30=$A34)*1)=0)*NOT(SUMPRODUCT((Cronograma!H$2:H$30=$A34)*(Cronograma!$B$2:$B$30=TRUE))&gt;0))+((SUMPRODUCT((Cronograma!I$2:I$30=$A34)*1)=0)*NOT(SUMPRODUCT((Cronograma!J$2:J$30=$A34)*(Cronograma!$B$2:$B$30=FALSE))&gt;0))&gt;0),(((SUMPRODUCT((Cronograma!J$2:J$30=$A34)*1)=0)*NOT(SUMPRODUCT((Cronograma!I$2:I$30=$A34)*(Cronograma!$B$2:$B$30=TRUE))&gt;0))+((SUMPRODUCT((Cronograma!J$2:J$30=$A34)*1)=0)*NOT(SUMPRODUCT((Cronograma!K$2:K$30=$A34)*(Cronograma!$B$2:$B$30=FALSE))&gt;0))&gt;0),(((SUMPRODUCT((Cronograma!K$2:K$30=$A34)*1)=0)*NOT(SUMPRODUCT((Cronograma!J$2:J$30=$A34)*(Cronograma!$B$2:$B$30=TRUE))&gt;0))+((SUMPRODUCT((Cronograma!K$2:K$30=$A34)*1)=0)*NOT(SUMPRODUCT((Cronograma!L$2:L$30=$A34)*(Cronograma!$B$2:$B$30=FALSE))&gt;0))&gt;0),(((SUMPRODUCT((Cronograma!L$2:L$30=$A34)*1)=0)*NOT(SUMPRODUCT((Cronograma!K$2:K$30=$A34)*(Cronograma!$B$2:$B$30=TRUE))&gt;0))+((SUMPRODUCT((Cronograma!L$2:L$30=$A34)*1)=0)*NOT(SUMPRODUCT((Cronograma!M$2:M$30=$A34)*(Cronograma!$B$2:$B$30=FALSE))&gt;0))&gt;0),(((SUMPRODUCT((Cronograma!M$2:M$30=$A34)*1)=0)*NOT(SUMPRODUCT((Cronograma!L$2:L$30=$A34)*(Cronograma!$B$2:$B$30=TRUE))&gt;0))+((SUMPRODUCT((Cronograma!M$2:M$30=$A34)*1)=0)*NOT(SUMPRODUCT((Cronograma!N$2:N$30=$A34)*(Cronograma!$B$2:$B$30=FALSE))&gt;0))&gt;0),(((SUMPRODUCT((Cronograma!N$2:N$30=$A34)*1)=0)*NOT(SUMPRODUCT((Cronograma!M$2:M$30=$A34)*(Cronograma!$B$2:$B$30=TRUE))&gt;0))+((SUMPRODUCT((Cronograma!N$2:N$30=$A34)*1)=0)*NOT(SUMPRODUCT((Cronograma!O$2:O$30=$A34)*(Cronograma!$B$2:$B$30=FALSE))&gt;0))&gt;0),(((SUMPRODUCT((Cronograma!O$2:O$30=$A34)*1)=0)*NOT(SUMPRODUCT((Cronograma!N$2:N$30=$A34)*(Cronograma!$B$2:$B$30=TRUE))&gt;0))+((SUMPRODUCT((Cronograma!O$2:O$30=$A34)*1)=0)*NOT(SUMPRODUCT((Cronograma!P$2:P$30=$A34)*(Cronograma!$B$2:$B$30=FALSE))&gt;0))&gt;0),(((SUMPRODUCT((Cronograma!P$2:P$30=$A34)*1)=0)*NOT(SUMPRODUCT((Cronograma!O$2:O$30=$A34)*(Cronograma!$B$2:$B$30=TRUE))&gt;0))+((SUMPRODUCT((Cronograma!P$2:P$30=$A34)*1)=0)*NOT(SUMPRODUCT((Cronograma!Q$2:Q$30=$A34)*(Cronograma!$B$2:$B$30=FALSE))&gt;0))&gt;0),((SUMPRODUCT((Cronograma!Q$2:Q$30=$A34)*1)=0)*NOT(SUMPRODUCT((Cronograma!P$2:P$30=$A34)*(Cronograma!$B$2:$B$30=TRUE))&gt;0)))</f>
        <v>0</v>
      </c>
      <c r="E34" cm="1">
        <f t="array" ref="E34">_xlfn.XLOOKUP("Maria Naydu",Cronograma!C2:C30,Cronograma!A2:A30,"")</f>
        <v>0</v>
      </c>
      <c r="F34" cm="1">
        <f t="array" ref="F34">_xlfn.XLOOKUP("Maria Naydu",Cronograma!D2:D30,Cronograma!A2:A30,"")</f>
        <v>0</v>
      </c>
      <c r="G34" cm="1">
        <f t="array" ref="G34">_xlfn.XLOOKUP("Maria Naydu",Cronograma!E2:E30,Cronograma!A2:A30,"")</f>
        <v>0</v>
      </c>
      <c r="H34" cm="1">
        <f t="array" ref="H34">_xlfn.XLOOKUP("Maria Naydu",Cronograma!F2:F30,Cronograma!A2:A30,"")</f>
        <v>0</v>
      </c>
      <c r="I34" cm="1">
        <f t="array" ref="I34">_xlfn.XLOOKUP("Maria Naydu",Cronograma!G2:G30,Cronograma!A2:A30,"")</f>
        <v>0</v>
      </c>
      <c r="J34" cm="1">
        <f t="array" ref="J34">_xlfn.XLOOKUP("Maria Naydu",Cronograma!H2:H30,Cronograma!A2:A30,"")</f>
        <v>0</v>
      </c>
      <c r="K34" cm="1">
        <f t="array" ref="K34">_xlfn.XLOOKUP("Maria Naydu",Cronograma!I2:I30,Cronograma!A2:A30,"")</f>
        <v>0</v>
      </c>
      <c r="L34" cm="1">
        <f t="array" ref="L34">_xlfn.XLOOKUP("Maria Naydu",Cronograma!J2:J30,Cronograma!A2:A30,"")</f>
        <v>0</v>
      </c>
      <c r="M34" cm="1">
        <f t="array" ref="M34">_xlfn.XLOOKUP("Maria Naydu",Cronograma!K2:K30,Cronograma!A2:A30,"")</f>
        <v>0</v>
      </c>
      <c r="N34" cm="1">
        <f t="array" ref="N34">_xlfn.XLOOKUP("Maria Naydu",Cronograma!L2:L30,Cronograma!A2:A30,"")</f>
        <v>0</v>
      </c>
      <c r="O34" cm="1">
        <f t="array" ref="O34">_xlfn.XLOOKUP("Maria Naydu",Cronograma!M2:M30,Cronograma!A2:A30,"")</f>
        <v>0</v>
      </c>
      <c r="P34" cm="1">
        <f t="array" ref="P34">_xlfn.XLOOKUP("Maria Naydu",Cronograma!N2:N30,Cronograma!A2:A30,"")</f>
        <v>0</v>
      </c>
      <c r="Q34" cm="1">
        <f t="array" ref="Q34">_xlfn.XLOOKUP("Maria Naydu",Cronograma!O2:O30,Cronograma!A2:A30,"")</f>
        <v>0</v>
      </c>
      <c r="R34" cm="1">
        <f t="array" ref="R34">_xlfn.XLOOKUP("Maria Naydu",Cronograma!P2:P30,Cronograma!A2:A30,"")</f>
        <v>0</v>
      </c>
      <c r="S34" cm="1">
        <f t="array" ref="S34">_xlfn.XLOOKUP("Maria Naydu",Cronograma!Q2:Q30,Cronograma!A2:A30,"")</f>
        <v>0</v>
      </c>
    </row>
    <row r="35" spans="1:19">
      <c r="A35" t="s">
        <v>59</v>
      </c>
      <c r="B35">
        <f>SUMPRODUCT((Cronograma!B2:B30=FALSE) * (COUNTIF(E35:S35, Cronograma!A2:A30)))</f>
        <v>0</v>
      </c>
      <c r="C35">
        <f>SUMPRODUCT((Cronograma!B2:B30=TRUE) * (COUNTIF(E35:S35, Cronograma!A2:A30)))</f>
        <v>0</v>
      </c>
      <c r="D35">
        <f>SUM(((SUMPRODUCT((Cronograma!C$2:C$30=$A35)*1)=0)*NOT(SUMPRODUCT((Cronograma!D$2:D$30=$A35)*(Cronograma!$B$2:$B$30=FALSE))&gt;0)),(((SUMPRODUCT((Cronograma!D$2:D$30=$A35)*1)=0)*NOT(SUMPRODUCT((Cronograma!C$2:C$30=$A35)*(Cronograma!$B$2:$B$30=TRUE))&gt;0))+((SUMPRODUCT((Cronograma!D$2:D$30=$A35)*1)=0)*NOT(SUMPRODUCT((Cronograma!E$2:E$30=$A35)*(Cronograma!$B$2:$B$30=FALSE))&gt;0))&gt;0),(((SUMPRODUCT((Cronograma!E$2:E$30=$A35)*1)=0)*NOT(SUMPRODUCT((Cronograma!D$2:D$30=$A35)*(Cronograma!$B$2:$B$30=TRUE))&gt;0))+((SUMPRODUCT((Cronograma!E$2:E$30=$A35)*1)=0)*NOT(SUMPRODUCT((Cronograma!F$2:F$30=$A35)*(Cronograma!$B$2:$B$30=FALSE))&gt;0))&gt;0),(((SUMPRODUCT((Cronograma!F$2:F$30=$A35)*1)=0)*NOT(SUMPRODUCT((Cronograma!E$2:E$30=$A35)*(Cronograma!$B$2:$B$30=TRUE))&gt;0))+((SUMPRODUCT((Cronograma!F$2:F$30=$A35)*1)=0)*NOT(SUMPRODUCT((Cronograma!G$2:G$30=$A35)*(Cronograma!$B$2:$B$30=FALSE))&gt;0))&gt;0),(((SUMPRODUCT((Cronograma!G$2:G$30=$A35)*1)=0)*NOT(SUMPRODUCT((Cronograma!F$2:F$30=$A35)*(Cronograma!$B$2:$B$30=TRUE))&gt;0))+((SUMPRODUCT((Cronograma!G$2:G$30=$A35)*1)=0)*NOT(SUMPRODUCT((Cronograma!H$2:H$30=$A35)*(Cronograma!$B$2:$B$30=FALSE))&gt;0))&gt;0),(((SUMPRODUCT((Cronograma!H$2:H$30=$A35)*1)=0)*NOT(SUMPRODUCT((Cronograma!G$2:G$30=$A35)*(Cronograma!$B$2:$B$30=TRUE))&gt;0))+((SUMPRODUCT((Cronograma!H$2:H$30=$A35)*1)=0)*NOT(SUMPRODUCT((Cronograma!I$2:I$30=$A35)*(Cronograma!$B$2:$B$30=FALSE))&gt;0))&gt;0),(((SUMPRODUCT((Cronograma!I$2:I$30=$A35)*1)=0)*NOT(SUMPRODUCT((Cronograma!H$2:H$30=$A35)*(Cronograma!$B$2:$B$30=TRUE))&gt;0))+((SUMPRODUCT((Cronograma!I$2:I$30=$A35)*1)=0)*NOT(SUMPRODUCT((Cronograma!J$2:J$30=$A35)*(Cronograma!$B$2:$B$30=FALSE))&gt;0))&gt;0),(((SUMPRODUCT((Cronograma!J$2:J$30=$A35)*1)=0)*NOT(SUMPRODUCT((Cronograma!I$2:I$30=$A35)*(Cronograma!$B$2:$B$30=TRUE))&gt;0))+((SUMPRODUCT((Cronograma!J$2:J$30=$A35)*1)=0)*NOT(SUMPRODUCT((Cronograma!K$2:K$30=$A35)*(Cronograma!$B$2:$B$30=FALSE))&gt;0))&gt;0),(((SUMPRODUCT((Cronograma!K$2:K$30=$A35)*1)=0)*NOT(SUMPRODUCT((Cronograma!J$2:J$30=$A35)*(Cronograma!$B$2:$B$30=TRUE))&gt;0))+((SUMPRODUCT((Cronograma!K$2:K$30=$A35)*1)=0)*NOT(SUMPRODUCT((Cronograma!L$2:L$30=$A35)*(Cronograma!$B$2:$B$30=FALSE))&gt;0))&gt;0),(((SUMPRODUCT((Cronograma!L$2:L$30=$A35)*1)=0)*NOT(SUMPRODUCT((Cronograma!K$2:K$30=$A35)*(Cronograma!$B$2:$B$30=TRUE))&gt;0))+((SUMPRODUCT((Cronograma!L$2:L$30=$A35)*1)=0)*NOT(SUMPRODUCT((Cronograma!M$2:M$30=$A35)*(Cronograma!$B$2:$B$30=FALSE))&gt;0))&gt;0),(((SUMPRODUCT((Cronograma!M$2:M$30=$A35)*1)=0)*NOT(SUMPRODUCT((Cronograma!L$2:L$30=$A35)*(Cronograma!$B$2:$B$30=TRUE))&gt;0))+((SUMPRODUCT((Cronograma!M$2:M$30=$A35)*1)=0)*NOT(SUMPRODUCT((Cronograma!N$2:N$30=$A35)*(Cronograma!$B$2:$B$30=FALSE))&gt;0))&gt;0),(((SUMPRODUCT((Cronograma!N$2:N$30=$A35)*1)=0)*NOT(SUMPRODUCT((Cronograma!M$2:M$30=$A35)*(Cronograma!$B$2:$B$30=TRUE))&gt;0))+((SUMPRODUCT((Cronograma!N$2:N$30=$A35)*1)=0)*NOT(SUMPRODUCT((Cronograma!O$2:O$30=$A35)*(Cronograma!$B$2:$B$30=FALSE))&gt;0))&gt;0),(((SUMPRODUCT((Cronograma!O$2:O$30=$A35)*1)=0)*NOT(SUMPRODUCT((Cronograma!N$2:N$30=$A35)*(Cronograma!$B$2:$B$30=TRUE))&gt;0))+((SUMPRODUCT((Cronograma!O$2:O$30=$A35)*1)=0)*NOT(SUMPRODUCT((Cronograma!P$2:P$30=$A35)*(Cronograma!$B$2:$B$30=FALSE))&gt;0))&gt;0),(((SUMPRODUCT((Cronograma!P$2:P$30=$A35)*1)=0)*NOT(SUMPRODUCT((Cronograma!O$2:O$30=$A35)*(Cronograma!$B$2:$B$30=TRUE))&gt;0))+((SUMPRODUCT((Cronograma!P$2:P$30=$A35)*1)=0)*NOT(SUMPRODUCT((Cronograma!Q$2:Q$30=$A35)*(Cronograma!$B$2:$B$30=FALSE))&gt;0))&gt;0),((SUMPRODUCT((Cronograma!Q$2:Q$30=$A35)*1)=0)*NOT(SUMPRODUCT((Cronograma!P$2:P$30=$A35)*(Cronograma!$B$2:$B$30=TRUE))&gt;0)))</f>
        <v>0</v>
      </c>
      <c r="E35" cm="1">
        <f t="array" ref="E35">_xlfn.XLOOKUP("Maria Alejandra",Cronograma!C2:C30,Cronograma!A2:A30,"")</f>
        <v>0</v>
      </c>
      <c r="F35" cm="1">
        <f t="array" ref="F35">_xlfn.XLOOKUP("Maria Alejandra",Cronograma!D2:D30,Cronograma!A2:A30,"")</f>
        <v>0</v>
      </c>
      <c r="G35" cm="1">
        <f t="array" ref="G35">_xlfn.XLOOKUP("Maria Alejandra",Cronograma!E2:E30,Cronograma!A2:A30,"")</f>
        <v>0</v>
      </c>
      <c r="H35" cm="1">
        <f t="array" ref="H35">_xlfn.XLOOKUP("Maria Alejandra",Cronograma!F2:F30,Cronograma!A2:A30,"")</f>
        <v>0</v>
      </c>
      <c r="I35" cm="1">
        <f t="array" ref="I35">_xlfn.XLOOKUP("Maria Alejandra",Cronograma!G2:G30,Cronograma!A2:A30,"")</f>
        <v>0</v>
      </c>
      <c r="J35" cm="1">
        <f t="array" ref="J35">_xlfn.XLOOKUP("Maria Alejandra",Cronograma!H2:H30,Cronograma!A2:A30,"")</f>
        <v>0</v>
      </c>
      <c r="K35" cm="1">
        <f t="array" ref="K35">_xlfn.XLOOKUP("Maria Alejandra",Cronograma!I2:I30,Cronograma!A2:A30,"")</f>
        <v>0</v>
      </c>
      <c r="L35" cm="1">
        <f t="array" ref="L35">_xlfn.XLOOKUP("Maria Alejandra",Cronograma!J2:J30,Cronograma!A2:A30,"")</f>
        <v>0</v>
      </c>
      <c r="M35" cm="1">
        <f t="array" ref="M35">_xlfn.XLOOKUP("Maria Alejandra",Cronograma!K2:K30,Cronograma!A2:A30,"")</f>
        <v>0</v>
      </c>
      <c r="N35" cm="1">
        <f t="array" ref="N35">_xlfn.XLOOKUP("Maria Alejandra",Cronograma!L2:L30,Cronograma!A2:A30,"")</f>
        <v>0</v>
      </c>
      <c r="O35" cm="1">
        <f t="array" ref="O35">_xlfn.XLOOKUP("Maria Alejandra",Cronograma!M2:M30,Cronograma!A2:A30,"")</f>
        <v>0</v>
      </c>
      <c r="P35" cm="1">
        <f t="array" ref="P35">_xlfn.XLOOKUP("Maria Alejandra",Cronograma!N2:N30,Cronograma!A2:A30,"")</f>
        <v>0</v>
      </c>
      <c r="Q35" cm="1">
        <f t="array" ref="Q35">_xlfn.XLOOKUP("Maria Alejandra",Cronograma!O2:O30,Cronograma!A2:A30,"")</f>
        <v>0</v>
      </c>
      <c r="R35" cm="1">
        <f t="array" ref="R35">_xlfn.XLOOKUP("Maria Alejandra",Cronograma!P2:P30,Cronograma!A2:A30,"")</f>
        <v>0</v>
      </c>
      <c r="S35" cm="1">
        <f t="array" ref="S35">_xlfn.XLOOKUP("Maria Alejandra",Cronograma!Q2:Q30,Cronograma!A2:A30,"")</f>
        <v>0</v>
      </c>
    </row>
    <row r="36" spans="1:19">
      <c r="A36" t="s">
        <v>44</v>
      </c>
      <c r="B36">
        <f>SUMPRODUCT((Cronograma!B2:B30=FALSE) * (COUNTIF(E36:S36, Cronograma!A2:A30)))</f>
        <v>0</v>
      </c>
      <c r="C36">
        <f>SUMPRODUCT((Cronograma!B2:B30=TRUE) * (COUNTIF(E36:S36, Cronograma!A2:A30)))</f>
        <v>0</v>
      </c>
      <c r="D36">
        <f>SUM(((SUMPRODUCT((Cronograma!C$2:C$30=$A36)*1)=0)*NOT(SUMPRODUCT((Cronograma!D$2:D$30=$A36)*(Cronograma!$B$2:$B$30=FALSE))&gt;0)),(((SUMPRODUCT((Cronograma!D$2:D$30=$A36)*1)=0)*NOT(SUMPRODUCT((Cronograma!C$2:C$30=$A36)*(Cronograma!$B$2:$B$30=TRUE))&gt;0))+((SUMPRODUCT((Cronograma!D$2:D$30=$A36)*1)=0)*NOT(SUMPRODUCT((Cronograma!E$2:E$30=$A36)*(Cronograma!$B$2:$B$30=FALSE))&gt;0))&gt;0),(((SUMPRODUCT((Cronograma!E$2:E$30=$A36)*1)=0)*NOT(SUMPRODUCT((Cronograma!D$2:D$30=$A36)*(Cronograma!$B$2:$B$30=TRUE))&gt;0))+((SUMPRODUCT((Cronograma!E$2:E$30=$A36)*1)=0)*NOT(SUMPRODUCT((Cronograma!F$2:F$30=$A36)*(Cronograma!$B$2:$B$30=FALSE))&gt;0))&gt;0),(((SUMPRODUCT((Cronograma!F$2:F$30=$A36)*1)=0)*NOT(SUMPRODUCT((Cronograma!E$2:E$30=$A36)*(Cronograma!$B$2:$B$30=TRUE))&gt;0))+((SUMPRODUCT((Cronograma!F$2:F$30=$A36)*1)=0)*NOT(SUMPRODUCT((Cronograma!G$2:G$30=$A36)*(Cronograma!$B$2:$B$30=FALSE))&gt;0))&gt;0),(((SUMPRODUCT((Cronograma!G$2:G$30=$A36)*1)=0)*NOT(SUMPRODUCT((Cronograma!F$2:F$30=$A36)*(Cronograma!$B$2:$B$30=TRUE))&gt;0))+((SUMPRODUCT((Cronograma!G$2:G$30=$A36)*1)=0)*NOT(SUMPRODUCT((Cronograma!H$2:H$30=$A36)*(Cronograma!$B$2:$B$30=FALSE))&gt;0))&gt;0),(((SUMPRODUCT((Cronograma!H$2:H$30=$A36)*1)=0)*NOT(SUMPRODUCT((Cronograma!G$2:G$30=$A36)*(Cronograma!$B$2:$B$30=TRUE))&gt;0))+((SUMPRODUCT((Cronograma!H$2:H$30=$A36)*1)=0)*NOT(SUMPRODUCT((Cronograma!I$2:I$30=$A36)*(Cronograma!$B$2:$B$30=FALSE))&gt;0))&gt;0),(((SUMPRODUCT((Cronograma!I$2:I$30=$A36)*1)=0)*NOT(SUMPRODUCT((Cronograma!H$2:H$30=$A36)*(Cronograma!$B$2:$B$30=TRUE))&gt;0))+((SUMPRODUCT((Cronograma!I$2:I$30=$A36)*1)=0)*NOT(SUMPRODUCT((Cronograma!J$2:J$30=$A36)*(Cronograma!$B$2:$B$30=FALSE))&gt;0))&gt;0),(((SUMPRODUCT((Cronograma!J$2:J$30=$A36)*1)=0)*NOT(SUMPRODUCT((Cronograma!I$2:I$30=$A36)*(Cronograma!$B$2:$B$30=TRUE))&gt;0))+((SUMPRODUCT((Cronograma!J$2:J$30=$A36)*1)=0)*NOT(SUMPRODUCT((Cronograma!K$2:K$30=$A36)*(Cronograma!$B$2:$B$30=FALSE))&gt;0))&gt;0),(((SUMPRODUCT((Cronograma!K$2:K$30=$A36)*1)=0)*NOT(SUMPRODUCT((Cronograma!J$2:J$30=$A36)*(Cronograma!$B$2:$B$30=TRUE))&gt;0))+((SUMPRODUCT((Cronograma!K$2:K$30=$A36)*1)=0)*NOT(SUMPRODUCT((Cronograma!L$2:L$30=$A36)*(Cronograma!$B$2:$B$30=FALSE))&gt;0))&gt;0),(((SUMPRODUCT((Cronograma!L$2:L$30=$A36)*1)=0)*NOT(SUMPRODUCT((Cronograma!K$2:K$30=$A36)*(Cronograma!$B$2:$B$30=TRUE))&gt;0))+((SUMPRODUCT((Cronograma!L$2:L$30=$A36)*1)=0)*NOT(SUMPRODUCT((Cronograma!M$2:M$30=$A36)*(Cronograma!$B$2:$B$30=FALSE))&gt;0))&gt;0),(((SUMPRODUCT((Cronograma!M$2:M$30=$A36)*1)=0)*NOT(SUMPRODUCT((Cronograma!L$2:L$30=$A36)*(Cronograma!$B$2:$B$30=TRUE))&gt;0))+((SUMPRODUCT((Cronograma!M$2:M$30=$A36)*1)=0)*NOT(SUMPRODUCT((Cronograma!N$2:N$30=$A36)*(Cronograma!$B$2:$B$30=FALSE))&gt;0))&gt;0),(((SUMPRODUCT((Cronograma!N$2:N$30=$A36)*1)=0)*NOT(SUMPRODUCT((Cronograma!M$2:M$30=$A36)*(Cronograma!$B$2:$B$30=TRUE))&gt;0))+((SUMPRODUCT((Cronograma!N$2:N$30=$A36)*1)=0)*NOT(SUMPRODUCT((Cronograma!O$2:O$30=$A36)*(Cronograma!$B$2:$B$30=FALSE))&gt;0))&gt;0),(((SUMPRODUCT((Cronograma!O$2:O$30=$A36)*1)=0)*NOT(SUMPRODUCT((Cronograma!N$2:N$30=$A36)*(Cronograma!$B$2:$B$30=TRUE))&gt;0))+((SUMPRODUCT((Cronograma!O$2:O$30=$A36)*1)=0)*NOT(SUMPRODUCT((Cronograma!P$2:P$30=$A36)*(Cronograma!$B$2:$B$30=FALSE))&gt;0))&gt;0),(((SUMPRODUCT((Cronograma!P$2:P$30=$A36)*1)=0)*NOT(SUMPRODUCT((Cronograma!O$2:O$30=$A36)*(Cronograma!$B$2:$B$30=TRUE))&gt;0))+((SUMPRODUCT((Cronograma!P$2:P$30=$A36)*1)=0)*NOT(SUMPRODUCT((Cronograma!Q$2:Q$30=$A36)*(Cronograma!$B$2:$B$30=FALSE))&gt;0))&gt;0),((SUMPRODUCT((Cronograma!Q$2:Q$30=$A36)*1)=0)*NOT(SUMPRODUCT((Cronograma!P$2:P$30=$A36)*(Cronograma!$B$2:$B$30=TRUE))&gt;0)))</f>
        <v>0</v>
      </c>
      <c r="E36" cm="1">
        <f t="array" ref="E36">_xlfn.XLOOKUP("Tatiana",Cronograma!C2:C30,Cronograma!A2:A30,"")</f>
        <v>0</v>
      </c>
      <c r="F36" cm="1">
        <f t="array" ref="F36">_xlfn.XLOOKUP("Tatiana",Cronograma!D2:D30,Cronograma!A2:A30,"")</f>
        <v>0</v>
      </c>
      <c r="G36" cm="1">
        <f t="array" ref="G36">_xlfn.XLOOKUP("Tatiana",Cronograma!E2:E30,Cronograma!A2:A30,"")</f>
        <v>0</v>
      </c>
      <c r="H36" cm="1">
        <f t="array" ref="H36">_xlfn.XLOOKUP("Tatiana",Cronograma!F2:F30,Cronograma!A2:A30,"")</f>
        <v>0</v>
      </c>
      <c r="I36" cm="1">
        <f t="array" ref="I36">_xlfn.XLOOKUP("Tatiana",Cronograma!G2:G30,Cronograma!A2:A30,"")</f>
        <v>0</v>
      </c>
      <c r="J36" cm="1">
        <f t="array" ref="J36">_xlfn.XLOOKUP("Tatiana",Cronograma!H2:H30,Cronograma!A2:A30,"")</f>
        <v>0</v>
      </c>
      <c r="K36" cm="1">
        <f t="array" ref="K36">_xlfn.XLOOKUP("Tatiana",Cronograma!I2:I30,Cronograma!A2:A30,"")</f>
        <v>0</v>
      </c>
      <c r="L36" cm="1">
        <f t="array" ref="L36">_xlfn.XLOOKUP("Tatiana",Cronograma!J2:J30,Cronograma!A2:A30,"")</f>
        <v>0</v>
      </c>
      <c r="M36" cm="1">
        <f t="array" ref="M36">_xlfn.XLOOKUP("Tatiana",Cronograma!K2:K30,Cronograma!A2:A30,"")</f>
        <v>0</v>
      </c>
      <c r="N36" cm="1">
        <f t="array" ref="N36">_xlfn.XLOOKUP("Tatiana",Cronograma!L2:L30,Cronograma!A2:A30,"")</f>
        <v>0</v>
      </c>
      <c r="O36" cm="1">
        <f t="array" ref="O36">_xlfn.XLOOKUP("Tatiana",Cronograma!M2:M30,Cronograma!A2:A30,"")</f>
        <v>0</v>
      </c>
      <c r="P36" cm="1">
        <f t="array" ref="P36">_xlfn.XLOOKUP("Tatiana",Cronograma!N2:N30,Cronograma!A2:A30,"")</f>
        <v>0</v>
      </c>
      <c r="Q36" cm="1">
        <f t="array" ref="Q36">_xlfn.XLOOKUP("Tatiana",Cronograma!O2:O30,Cronograma!A2:A30,"")</f>
        <v>0</v>
      </c>
      <c r="R36" cm="1">
        <f t="array" ref="R36">_xlfn.XLOOKUP("Tatiana",Cronograma!P2:P30,Cronograma!A2:A30,"")</f>
        <v>0</v>
      </c>
      <c r="S36" cm="1">
        <f t="array" ref="S36">_xlfn.XLOOKUP("Tatiana",Cronograma!Q2:Q30,Cronograma!A2:A30,"")</f>
        <v>0</v>
      </c>
    </row>
    <row r="37" spans="1:19">
      <c r="A37" t="s">
        <v>46</v>
      </c>
      <c r="B37">
        <f>SUMPRODUCT((Cronograma!B2:B30=FALSE) * (COUNTIF(E37:S37, Cronograma!A2:A30)))</f>
        <v>0</v>
      </c>
      <c r="C37">
        <f>SUMPRODUCT((Cronograma!B2:B30=TRUE) * (COUNTIF(E37:S37, Cronograma!A2:A30)))</f>
        <v>0</v>
      </c>
      <c r="D37">
        <f>SUM(((SUMPRODUCT((Cronograma!C$2:C$30=$A37)*1)=0)*NOT(SUMPRODUCT((Cronograma!D$2:D$30=$A37)*(Cronograma!$B$2:$B$30=FALSE))&gt;0)),(((SUMPRODUCT((Cronograma!D$2:D$30=$A37)*1)=0)*NOT(SUMPRODUCT((Cronograma!C$2:C$30=$A37)*(Cronograma!$B$2:$B$30=TRUE))&gt;0))+((SUMPRODUCT((Cronograma!D$2:D$30=$A37)*1)=0)*NOT(SUMPRODUCT((Cronograma!E$2:E$30=$A37)*(Cronograma!$B$2:$B$30=FALSE))&gt;0))&gt;0),(((SUMPRODUCT((Cronograma!E$2:E$30=$A37)*1)=0)*NOT(SUMPRODUCT((Cronograma!D$2:D$30=$A37)*(Cronograma!$B$2:$B$30=TRUE))&gt;0))+((SUMPRODUCT((Cronograma!E$2:E$30=$A37)*1)=0)*NOT(SUMPRODUCT((Cronograma!F$2:F$30=$A37)*(Cronograma!$B$2:$B$30=FALSE))&gt;0))&gt;0),(((SUMPRODUCT((Cronograma!F$2:F$30=$A37)*1)=0)*NOT(SUMPRODUCT((Cronograma!E$2:E$30=$A37)*(Cronograma!$B$2:$B$30=TRUE))&gt;0))+((SUMPRODUCT((Cronograma!F$2:F$30=$A37)*1)=0)*NOT(SUMPRODUCT((Cronograma!G$2:G$30=$A37)*(Cronograma!$B$2:$B$30=FALSE))&gt;0))&gt;0),(((SUMPRODUCT((Cronograma!G$2:G$30=$A37)*1)=0)*NOT(SUMPRODUCT((Cronograma!F$2:F$30=$A37)*(Cronograma!$B$2:$B$30=TRUE))&gt;0))+((SUMPRODUCT((Cronograma!G$2:G$30=$A37)*1)=0)*NOT(SUMPRODUCT((Cronograma!H$2:H$30=$A37)*(Cronograma!$B$2:$B$30=FALSE))&gt;0))&gt;0),(((SUMPRODUCT((Cronograma!H$2:H$30=$A37)*1)=0)*NOT(SUMPRODUCT((Cronograma!G$2:G$30=$A37)*(Cronograma!$B$2:$B$30=TRUE))&gt;0))+((SUMPRODUCT((Cronograma!H$2:H$30=$A37)*1)=0)*NOT(SUMPRODUCT((Cronograma!I$2:I$30=$A37)*(Cronograma!$B$2:$B$30=FALSE))&gt;0))&gt;0),(((SUMPRODUCT((Cronograma!I$2:I$30=$A37)*1)=0)*NOT(SUMPRODUCT((Cronograma!H$2:H$30=$A37)*(Cronograma!$B$2:$B$30=TRUE))&gt;0))+((SUMPRODUCT((Cronograma!I$2:I$30=$A37)*1)=0)*NOT(SUMPRODUCT((Cronograma!J$2:J$30=$A37)*(Cronograma!$B$2:$B$30=FALSE))&gt;0))&gt;0),(((SUMPRODUCT((Cronograma!J$2:J$30=$A37)*1)=0)*NOT(SUMPRODUCT((Cronograma!I$2:I$30=$A37)*(Cronograma!$B$2:$B$30=TRUE))&gt;0))+((SUMPRODUCT((Cronograma!J$2:J$30=$A37)*1)=0)*NOT(SUMPRODUCT((Cronograma!K$2:K$30=$A37)*(Cronograma!$B$2:$B$30=FALSE))&gt;0))&gt;0),(((SUMPRODUCT((Cronograma!K$2:K$30=$A37)*1)=0)*NOT(SUMPRODUCT((Cronograma!J$2:J$30=$A37)*(Cronograma!$B$2:$B$30=TRUE))&gt;0))+((SUMPRODUCT((Cronograma!K$2:K$30=$A37)*1)=0)*NOT(SUMPRODUCT((Cronograma!L$2:L$30=$A37)*(Cronograma!$B$2:$B$30=FALSE))&gt;0))&gt;0),(((SUMPRODUCT((Cronograma!L$2:L$30=$A37)*1)=0)*NOT(SUMPRODUCT((Cronograma!K$2:K$30=$A37)*(Cronograma!$B$2:$B$30=TRUE))&gt;0))+((SUMPRODUCT((Cronograma!L$2:L$30=$A37)*1)=0)*NOT(SUMPRODUCT((Cronograma!M$2:M$30=$A37)*(Cronograma!$B$2:$B$30=FALSE))&gt;0))&gt;0),(((SUMPRODUCT((Cronograma!M$2:M$30=$A37)*1)=0)*NOT(SUMPRODUCT((Cronograma!L$2:L$30=$A37)*(Cronograma!$B$2:$B$30=TRUE))&gt;0))+((SUMPRODUCT((Cronograma!M$2:M$30=$A37)*1)=0)*NOT(SUMPRODUCT((Cronograma!N$2:N$30=$A37)*(Cronograma!$B$2:$B$30=FALSE))&gt;0))&gt;0),(((SUMPRODUCT((Cronograma!N$2:N$30=$A37)*1)=0)*NOT(SUMPRODUCT((Cronograma!M$2:M$30=$A37)*(Cronograma!$B$2:$B$30=TRUE))&gt;0))+((SUMPRODUCT((Cronograma!N$2:N$30=$A37)*1)=0)*NOT(SUMPRODUCT((Cronograma!O$2:O$30=$A37)*(Cronograma!$B$2:$B$30=FALSE))&gt;0))&gt;0),(((SUMPRODUCT((Cronograma!O$2:O$30=$A37)*1)=0)*NOT(SUMPRODUCT((Cronograma!N$2:N$30=$A37)*(Cronograma!$B$2:$B$30=TRUE))&gt;0))+((SUMPRODUCT((Cronograma!O$2:O$30=$A37)*1)=0)*NOT(SUMPRODUCT((Cronograma!P$2:P$30=$A37)*(Cronograma!$B$2:$B$30=FALSE))&gt;0))&gt;0),(((SUMPRODUCT((Cronograma!P$2:P$30=$A37)*1)=0)*NOT(SUMPRODUCT((Cronograma!O$2:O$30=$A37)*(Cronograma!$B$2:$B$30=TRUE))&gt;0))+((SUMPRODUCT((Cronograma!P$2:P$30=$A37)*1)=0)*NOT(SUMPRODUCT((Cronograma!Q$2:Q$30=$A37)*(Cronograma!$B$2:$B$30=FALSE))&gt;0))&gt;0),((SUMPRODUCT((Cronograma!Q$2:Q$30=$A37)*1)=0)*NOT(SUMPRODUCT((Cronograma!P$2:P$30=$A37)*(Cronograma!$B$2:$B$30=TRUE))&gt;0)))</f>
        <v>0</v>
      </c>
      <c r="E37" cm="1">
        <f t="array" ref="E37">_xlfn.XLOOKUP("Luz Mery",Cronograma!C2:C30,Cronograma!A2:A30,"")</f>
        <v>0</v>
      </c>
      <c r="F37" cm="1">
        <f t="array" ref="F37">_xlfn.XLOOKUP("Luz Mery",Cronograma!D2:D30,Cronograma!A2:A30,"")</f>
        <v>0</v>
      </c>
      <c r="G37" cm="1">
        <f t="array" ref="G37">_xlfn.XLOOKUP("Luz Mery",Cronograma!E2:E30,Cronograma!A2:A30,"")</f>
        <v>0</v>
      </c>
      <c r="H37" cm="1">
        <f t="array" ref="H37">_xlfn.XLOOKUP("Luz Mery",Cronograma!F2:F30,Cronograma!A2:A30,"")</f>
        <v>0</v>
      </c>
      <c r="I37" cm="1">
        <f t="array" ref="I37">_xlfn.XLOOKUP("Luz Mery",Cronograma!G2:G30,Cronograma!A2:A30,"")</f>
        <v>0</v>
      </c>
      <c r="J37" cm="1">
        <f t="array" ref="J37">_xlfn.XLOOKUP("Luz Mery",Cronograma!H2:H30,Cronograma!A2:A30,"")</f>
        <v>0</v>
      </c>
      <c r="K37" cm="1">
        <f t="array" ref="K37">_xlfn.XLOOKUP("Luz Mery",Cronograma!I2:I30,Cronograma!A2:A30,"")</f>
        <v>0</v>
      </c>
      <c r="L37" cm="1">
        <f t="array" ref="L37">_xlfn.XLOOKUP("Luz Mery",Cronograma!J2:J30,Cronograma!A2:A30,"")</f>
        <v>0</v>
      </c>
      <c r="M37" cm="1">
        <f t="array" ref="M37">_xlfn.XLOOKUP("Luz Mery",Cronograma!K2:K30,Cronograma!A2:A30,"")</f>
        <v>0</v>
      </c>
      <c r="N37" cm="1">
        <f t="array" ref="N37">_xlfn.XLOOKUP("Luz Mery",Cronograma!L2:L30,Cronograma!A2:A30,"")</f>
        <v>0</v>
      </c>
      <c r="O37" cm="1">
        <f t="array" ref="O37">_xlfn.XLOOKUP("Luz Mery",Cronograma!M2:M30,Cronograma!A2:A30,"")</f>
        <v>0</v>
      </c>
      <c r="P37" cm="1">
        <f t="array" ref="P37">_xlfn.XLOOKUP("Luz Mery",Cronograma!N2:N30,Cronograma!A2:A30,"")</f>
        <v>0</v>
      </c>
      <c r="Q37" cm="1">
        <f t="array" ref="Q37">_xlfn.XLOOKUP("Luz Mery",Cronograma!O2:O30,Cronograma!A2:A30,"")</f>
        <v>0</v>
      </c>
      <c r="R37" cm="1">
        <f t="array" ref="R37">_xlfn.XLOOKUP("Luz Mery",Cronograma!P2:P30,Cronograma!A2:A30,"")</f>
        <v>0</v>
      </c>
      <c r="S37" cm="1">
        <f t="array" ref="S37">_xlfn.XLOOKUP("Luz Mery",Cronograma!Q2:Q30,Cronograma!A2:A30,"")</f>
        <v>0</v>
      </c>
    </row>
  </sheetData>
  <sheetProtection sheet="1" objects="1" scenarios="1" formatColumns="0" formatRows="0"/>
  <conditionalFormatting sqref="B2:B37">
    <cfRule type="expression" dxfId="1" priority="2">
      <formula>TRUE</formula>
    </cfRule>
  </conditionalFormatting>
  <conditionalFormatting sqref="C2:C37">
    <cfRule type="expression" dxfId="2" priority="4">
      <formula>TRUE</formula>
    </cfRule>
  </conditionalFormatting>
  <conditionalFormatting sqref="D2:D37">
    <cfRule type="expression" dxfId="3" priority="20">
      <formula>TRUE</formula>
    </cfRule>
  </conditionalFormatting>
  <conditionalFormatting sqref="E2:E37">
    <cfRule type="expression" dxfId="3" priority="5">
      <formula>OR(AND(ISERROR(MATCH($A2, Cronograma!C$2:C$30, 0)), NOT(IF(ISERROR(MATCH($A2,Cronograma!D$2:D$30,0)),FALSE,INDEX(Cronograma!$B$2:$B$30,MATCH($A2,Cronograma!D$2:D$30,0))=FALSE))))</formula>
    </cfRule>
  </conditionalFormatting>
  <conditionalFormatting sqref="E2:S37">
    <cfRule type="expression" dxfId="1" priority="1">
      <formula>VLOOKUP(E2, Cronograma!$A$2:$B$30, 2, FALSE)=FALSE</formula>
    </cfRule>
    <cfRule type="expression" dxfId="2" priority="3">
      <formula>VLOOKUP(E2, Cronograma!$A$2:$B$30, 2, FALSE)=TRUE</formula>
    </cfRule>
  </conditionalFormatting>
  <conditionalFormatting sqref="F2:F37">
    <cfRule type="expression" dxfId="3" priority="6">
      <formula>OR(AND(ISERROR(MATCH($A2, Cronograma!D$2:D$30, 0)), NOT(IF(ISERROR(MATCH($A2,Cronograma!C$2:C$30,0)),FALSE,INDEX(Cronograma!$B$2:$B$30,MATCH($A2,Cronograma!C$2:C$30,0))=TRUE))),AND(ISERROR(MATCH($A2, Cronograma!D$2:D$30, 0)), NOT(IF(ISERROR(MATCH($A2,Cronograma!E$2:E$30,0)),FALSE,INDEX(Cronograma!$B$2:$B$30,MATCH($A2,Cronograma!E$2:E$30,0))=FALSE))))</formula>
    </cfRule>
  </conditionalFormatting>
  <conditionalFormatting sqref="G2:G37">
    <cfRule type="expression" dxfId="3" priority="7">
      <formula>OR(AND(ISERROR(MATCH($A2, Cronograma!E$2:E$30, 0)), NOT(IF(ISERROR(MATCH($A2,Cronograma!D$2:D$30,0)),FALSE,INDEX(Cronograma!$B$2:$B$30,MATCH($A2,Cronograma!D$2:D$30,0))=TRUE))),AND(ISERROR(MATCH($A2, Cronograma!E$2:E$30, 0)), NOT(IF(ISERROR(MATCH($A2,Cronograma!F$2:F$30,0)),FALSE,INDEX(Cronograma!$B$2:$B$30,MATCH($A2,Cronograma!F$2:F$30,0))=FALSE))))</formula>
    </cfRule>
  </conditionalFormatting>
  <conditionalFormatting sqref="H2:H37">
    <cfRule type="expression" dxfId="3" priority="8">
      <formula>OR(AND(ISERROR(MATCH($A2, Cronograma!F$2:F$30, 0)), NOT(IF(ISERROR(MATCH($A2,Cronograma!E$2:E$30,0)),FALSE,INDEX(Cronograma!$B$2:$B$30,MATCH($A2,Cronograma!E$2:E$30,0))=TRUE))),AND(ISERROR(MATCH($A2, Cronograma!F$2:F$30, 0)), NOT(IF(ISERROR(MATCH($A2,Cronograma!G$2:G$30,0)),FALSE,INDEX(Cronograma!$B$2:$B$30,MATCH($A2,Cronograma!G$2:G$30,0))=FALSE))))</formula>
    </cfRule>
  </conditionalFormatting>
  <conditionalFormatting sqref="I2:I37">
    <cfRule type="expression" dxfId="3" priority="9">
      <formula>OR(AND(ISERROR(MATCH($A2, Cronograma!G$2:G$30, 0)), NOT(IF(ISERROR(MATCH($A2,Cronograma!F$2:F$30,0)),FALSE,INDEX(Cronograma!$B$2:$B$30,MATCH($A2,Cronograma!F$2:F$30,0))=TRUE))),AND(ISERROR(MATCH($A2, Cronograma!G$2:G$30, 0)), NOT(IF(ISERROR(MATCH($A2,Cronograma!H$2:H$30,0)),FALSE,INDEX(Cronograma!$B$2:$B$30,MATCH($A2,Cronograma!H$2:H$30,0))=FALSE))))</formula>
    </cfRule>
  </conditionalFormatting>
  <conditionalFormatting sqref="J2:J37">
    <cfRule type="expression" dxfId="3" priority="10">
      <formula>OR(AND(ISERROR(MATCH($A2, Cronograma!H$2:H$30, 0)), NOT(IF(ISERROR(MATCH($A2,Cronograma!G$2:G$30,0)),FALSE,INDEX(Cronograma!$B$2:$B$30,MATCH($A2,Cronograma!G$2:G$30,0))=TRUE))),AND(ISERROR(MATCH($A2, Cronograma!H$2:H$30, 0)), NOT(IF(ISERROR(MATCH($A2,Cronograma!I$2:I$30,0)),FALSE,INDEX(Cronograma!$B$2:$B$30,MATCH($A2,Cronograma!I$2:I$30,0))=FALSE))))</formula>
    </cfRule>
  </conditionalFormatting>
  <conditionalFormatting sqref="K2:K37">
    <cfRule type="expression" dxfId="3" priority="11">
      <formula>OR(AND(ISERROR(MATCH($A2, Cronograma!I$2:I$30, 0)), NOT(IF(ISERROR(MATCH($A2,Cronograma!H$2:H$30,0)),FALSE,INDEX(Cronograma!$B$2:$B$30,MATCH($A2,Cronograma!H$2:H$30,0))=TRUE))),AND(ISERROR(MATCH($A2, Cronograma!I$2:I$30, 0)), NOT(IF(ISERROR(MATCH($A2,Cronograma!J$2:J$30,0)),FALSE,INDEX(Cronograma!$B$2:$B$30,MATCH($A2,Cronograma!J$2:J$30,0))=FALSE))))</formula>
    </cfRule>
  </conditionalFormatting>
  <conditionalFormatting sqref="L2:L37">
    <cfRule type="expression" dxfId="3" priority="12">
      <formula>OR(AND(ISERROR(MATCH($A2, Cronograma!J$2:J$30, 0)), NOT(IF(ISERROR(MATCH($A2,Cronograma!I$2:I$30,0)),FALSE,INDEX(Cronograma!$B$2:$B$30,MATCH($A2,Cronograma!I$2:I$30,0))=TRUE))),AND(ISERROR(MATCH($A2, Cronograma!J$2:J$30, 0)), NOT(IF(ISERROR(MATCH($A2,Cronograma!K$2:K$30,0)),FALSE,INDEX(Cronograma!$B$2:$B$30,MATCH($A2,Cronograma!K$2:K$30,0))=FALSE))))</formula>
    </cfRule>
  </conditionalFormatting>
  <conditionalFormatting sqref="M2:M37">
    <cfRule type="expression" dxfId="3" priority="13">
      <formula>OR(AND(ISERROR(MATCH($A2, Cronograma!K$2:K$30, 0)), NOT(IF(ISERROR(MATCH($A2,Cronograma!J$2:J$30,0)),FALSE,INDEX(Cronograma!$B$2:$B$30,MATCH($A2,Cronograma!J$2:J$30,0))=TRUE))),AND(ISERROR(MATCH($A2, Cronograma!K$2:K$30, 0)), NOT(IF(ISERROR(MATCH($A2,Cronograma!L$2:L$30,0)),FALSE,INDEX(Cronograma!$B$2:$B$30,MATCH($A2,Cronograma!L$2:L$30,0))=FALSE))))</formula>
    </cfRule>
  </conditionalFormatting>
  <conditionalFormatting sqref="N2:N37">
    <cfRule type="expression" dxfId="3" priority="14">
      <formula>OR(AND(ISERROR(MATCH($A2, Cronograma!L$2:L$30, 0)), NOT(IF(ISERROR(MATCH($A2,Cronograma!K$2:K$30,0)),FALSE,INDEX(Cronograma!$B$2:$B$30,MATCH($A2,Cronograma!K$2:K$30,0))=TRUE))),AND(ISERROR(MATCH($A2, Cronograma!L$2:L$30, 0)), NOT(IF(ISERROR(MATCH($A2,Cronograma!M$2:M$30,0)),FALSE,INDEX(Cronograma!$B$2:$B$30,MATCH($A2,Cronograma!M$2:M$30,0))=FALSE))))</formula>
    </cfRule>
  </conditionalFormatting>
  <conditionalFormatting sqref="O2:O37">
    <cfRule type="expression" dxfId="3" priority="15">
      <formula>OR(AND(ISERROR(MATCH($A2, Cronograma!M$2:M$30, 0)), NOT(IF(ISERROR(MATCH($A2,Cronograma!L$2:L$30,0)),FALSE,INDEX(Cronograma!$B$2:$B$30,MATCH($A2,Cronograma!L$2:L$30,0))=TRUE))),AND(ISERROR(MATCH($A2, Cronograma!M$2:M$30, 0)), NOT(IF(ISERROR(MATCH($A2,Cronograma!N$2:N$30,0)),FALSE,INDEX(Cronograma!$B$2:$B$30,MATCH($A2,Cronograma!N$2:N$30,0))=FALSE))))</formula>
    </cfRule>
  </conditionalFormatting>
  <conditionalFormatting sqref="P2:P37">
    <cfRule type="expression" dxfId="3" priority="16">
      <formula>OR(AND(ISERROR(MATCH($A2, Cronograma!N$2:N$30, 0)), NOT(IF(ISERROR(MATCH($A2,Cronograma!M$2:M$30,0)),FALSE,INDEX(Cronograma!$B$2:$B$30,MATCH($A2,Cronograma!M$2:M$30,0))=TRUE))),AND(ISERROR(MATCH($A2, Cronograma!N$2:N$30, 0)), NOT(IF(ISERROR(MATCH($A2,Cronograma!O$2:O$30,0)),FALSE,INDEX(Cronograma!$B$2:$B$30,MATCH($A2,Cronograma!O$2:O$30,0))=FALSE))))</formula>
    </cfRule>
  </conditionalFormatting>
  <conditionalFormatting sqref="Q2:Q37">
    <cfRule type="expression" dxfId="3" priority="17">
      <formula>OR(AND(ISERROR(MATCH($A2, Cronograma!O$2:O$30, 0)), NOT(IF(ISERROR(MATCH($A2,Cronograma!N$2:N$30,0)),FALSE,INDEX(Cronograma!$B$2:$B$30,MATCH($A2,Cronograma!N$2:N$30,0))=TRUE))),AND(ISERROR(MATCH($A2, Cronograma!O$2:O$30, 0)), NOT(IF(ISERROR(MATCH($A2,Cronograma!P$2:P$30,0)),FALSE,INDEX(Cronograma!$B$2:$B$30,MATCH($A2,Cronograma!P$2:P$30,0))=FALSE))))</formula>
    </cfRule>
  </conditionalFormatting>
  <conditionalFormatting sqref="R2:R37">
    <cfRule type="expression" dxfId="3" priority="18">
      <formula>OR(AND(ISERROR(MATCH($A2, Cronograma!P$2:P$30, 0)), NOT(IF(ISERROR(MATCH($A2,Cronograma!O$2:O$30,0)),FALSE,INDEX(Cronograma!$B$2:$B$30,MATCH($A2,Cronograma!O$2:O$30,0))=TRUE))),AND(ISERROR(MATCH($A2, Cronograma!P$2:P$30, 0)), NOT(IF(ISERROR(MATCH($A2,Cronograma!Q$2:Q$30,0)),FALSE,INDEX(Cronograma!$B$2:$B$30,MATCH($A2,Cronograma!Q$2:Q$30,0))=FALSE))))</formula>
    </cfRule>
  </conditionalFormatting>
  <conditionalFormatting sqref="S2:S37">
    <cfRule type="expression" dxfId="3" priority="19">
      <formula>OR(AND(ISERROR(MATCH($A2, Cronograma!Q$2:Q$30, 0)), NOT(IF(ISERROR(MATCH($A2,Cronograma!P$2:P$30,0)),FALSE,INDEX(Cronograma!$B$2:$B$30,MATCH($A2,Cronograma!P$2:P$30,0))=TRUE))))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Cronograma</vt:lpstr>
      <vt:lpstr>Empleados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2026-01-27T23:02:19Z</dcterms:created>
  <dcterms:modified xsi:type="dcterms:W3CDTF">2026-01-27T23:02:19Z</dcterms:modified>
</cp:coreProperties>
</file>